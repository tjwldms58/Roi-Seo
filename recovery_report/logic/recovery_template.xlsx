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61fa49ef149fb083/바탕 화면/⭐힐마루케어_방문건강관리/★삼성화재 pilot1^J ^F26.9.30까지/안티캔서 가이드북/안태캔서-종합/Draft/액셀파일/"/>
    </mc:Choice>
  </mc:AlternateContent>
  <xr:revisionPtr revIDLastSave="0" documentId="8_{AC4C4870-E8E1-4A9F-BF31-6918A69B2F29}" xr6:coauthVersionLast="47" xr6:coauthVersionMax="47" xr10:uidLastSave="{00000000-0000-0000-0000-000000000000}"/>
  <bookViews>
    <workbookView xWindow="-51720" yWindow="-120" windowWidth="51840" windowHeight="21120" tabRatio="500" firstSheet="6" activeTab="6" xr2:uid="{00000000-000D-0000-FFFF-FFFF00000000}"/>
  </bookViews>
  <sheets>
    <sheet name="01_표지" sheetId="1" r:id="rId1"/>
    <sheet name="02_요약" sheetId="2" r:id="rId2"/>
    <sheet name="03_회차별실천기록" sheetId="3" r:id="rId3"/>
    <sheet name="04_운동별체력변화" sheetId="4" r:id="rId4"/>
    <sheet name="05_수행지표변화" sheetId="5" r:id="rId5"/>
    <sheet name="06_암종별특화지표" sheetId="6" r:id="rId6"/>
    <sheet name="07_다음단계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6" l="1"/>
  <c r="F27" i="6"/>
  <c r="F26" i="6"/>
  <c r="E21" i="6"/>
  <c r="E20" i="6"/>
  <c r="C17" i="6"/>
  <c r="E26" i="5"/>
  <c r="C19" i="2" s="1"/>
  <c r="C16" i="5"/>
  <c r="C7" i="5"/>
  <c r="A38" i="2"/>
  <c r="B32" i="2"/>
  <c r="B29" i="2"/>
  <c r="B26" i="2"/>
  <c r="B25" i="2"/>
  <c r="A19" i="2"/>
  <c r="C18" i="2"/>
  <c r="A18" i="2"/>
  <c r="A17" i="2"/>
  <c r="C10" i="1"/>
</calcChain>
</file>

<file path=xl/sharedStrings.xml><?xml version="1.0" encoding="utf-8"?>
<sst xmlns="http://schemas.openxmlformats.org/spreadsheetml/2006/main" count="356" uniqueCount="298">
  <si>
    <r>
      <rPr>
        <b/>
        <sz val="14"/>
        <color rgb="FFFFFFFF"/>
        <rFont val="Arial"/>
        <family val="2"/>
      </rPr>
      <t xml:space="preserve">01 · </t>
    </r>
    <r>
      <rPr>
        <b/>
        <sz val="14"/>
        <color rgb="FFFFFFFF"/>
        <rFont val="Noto Sans CJK SC"/>
        <family val="2"/>
      </rPr>
      <t xml:space="preserve">표지 </t>
    </r>
    <r>
      <rPr>
        <b/>
        <sz val="14"/>
        <color rgb="FFFFFFFF"/>
        <rFont val="Arial"/>
        <family val="2"/>
      </rPr>
      <t>(Cover)</t>
    </r>
  </si>
  <si>
    <r>
      <rPr>
        <i/>
        <sz val="9"/>
        <color rgb="FF6B6459"/>
        <rFont val="Noto Sans CJK SC"/>
        <family val="2"/>
      </rPr>
      <t>이 페이지는 별도 디자인으로 제작됩니다</t>
    </r>
    <r>
      <rPr>
        <i/>
        <sz val="9"/>
        <color rgb="FF6B6459"/>
        <rFont val="Arial"/>
        <family val="2"/>
      </rPr>
      <t xml:space="preserve">. </t>
    </r>
    <r>
      <rPr>
        <i/>
        <sz val="9"/>
        <color rgb="FF6B6459"/>
        <rFont val="Noto Sans CJK SC"/>
        <family val="2"/>
      </rPr>
      <t>아래 정보는 표지에 공통으로 들어가는 기본 정보입니다</t>
    </r>
    <r>
      <rPr>
        <i/>
        <sz val="9"/>
        <color rgb="FF6B6459"/>
        <rFont val="Arial"/>
        <family val="2"/>
      </rPr>
      <t>.</t>
    </r>
  </si>
  <si>
    <r>
      <rPr>
        <i/>
        <sz val="9"/>
        <color rgb="FF9A948B"/>
        <rFont val="Noto Sans CJK SC"/>
        <family val="2"/>
      </rPr>
      <t xml:space="preserve">※ 노란색 칸 </t>
    </r>
    <r>
      <rPr>
        <i/>
        <sz val="9"/>
        <color rgb="FF9A948B"/>
        <rFont val="Arial"/>
        <family val="2"/>
      </rPr>
      <t xml:space="preserve">= </t>
    </r>
    <r>
      <rPr>
        <i/>
        <sz val="9"/>
        <color rgb="FF9A948B"/>
        <rFont val="Noto Sans CJK SC"/>
        <family val="2"/>
      </rPr>
      <t xml:space="preserve">직접 입력하는 값 </t>
    </r>
    <r>
      <rPr>
        <i/>
        <sz val="9"/>
        <color rgb="FF9A948B"/>
        <rFont val="Arial"/>
        <family val="2"/>
      </rPr>
      <t xml:space="preserve">/ </t>
    </r>
    <r>
      <rPr>
        <i/>
        <sz val="9"/>
        <color rgb="FF9A948B"/>
        <rFont val="Noto Sans CJK SC"/>
        <family val="2"/>
      </rPr>
      <t>파란색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기울임</t>
    </r>
    <r>
      <rPr>
        <i/>
        <sz val="9"/>
        <color rgb="FF9A948B"/>
        <rFont val="Arial"/>
        <family val="2"/>
      </rPr>
      <t xml:space="preserve">) </t>
    </r>
    <r>
      <rPr>
        <i/>
        <sz val="9"/>
        <color rgb="FF9A948B"/>
        <rFont val="Noto Sans CJK SC"/>
        <family val="2"/>
      </rPr>
      <t xml:space="preserve">칸 </t>
    </r>
    <r>
      <rPr>
        <i/>
        <sz val="9"/>
        <color rgb="FF9A948B"/>
        <rFont val="Arial"/>
        <family val="2"/>
      </rPr>
      <t xml:space="preserve">= </t>
    </r>
    <r>
      <rPr>
        <i/>
        <sz val="9"/>
        <color rgb="FF9A948B"/>
        <rFont val="Noto Sans CJK SC"/>
        <family val="2"/>
      </rPr>
      <t>자동 계산되는 수식 칸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입력 불필요</t>
    </r>
    <r>
      <rPr>
        <i/>
        <sz val="9"/>
        <color rgb="FF9A948B"/>
        <rFont val="Arial"/>
        <family val="2"/>
      </rPr>
      <t xml:space="preserve">) / </t>
    </r>
    <r>
      <rPr>
        <i/>
        <sz val="9"/>
        <color rgb="FF9A948B"/>
        <rFont val="Noto Sans CJK SC"/>
        <family val="2"/>
      </rPr>
      <t xml:space="preserve">회색 칸 </t>
    </r>
    <r>
      <rPr>
        <i/>
        <sz val="9"/>
        <color rgb="FF9A948B"/>
        <rFont val="Arial"/>
        <family val="2"/>
      </rPr>
      <t xml:space="preserve">= </t>
    </r>
    <r>
      <rPr>
        <i/>
        <sz val="9"/>
        <color rgb="FF9A948B"/>
        <rFont val="Noto Sans CJK SC"/>
        <family val="2"/>
      </rPr>
      <t>리포트 구조상 고정된 항목명</t>
    </r>
    <r>
      <rPr>
        <i/>
        <sz val="9"/>
        <color rgb="FF9A948B"/>
        <rFont val="Arial"/>
        <family val="2"/>
      </rPr>
      <t>·</t>
    </r>
    <r>
      <rPr>
        <i/>
        <sz val="9"/>
        <color rgb="FF9A948B"/>
        <rFont val="Noto Sans CJK SC"/>
        <family val="2"/>
      </rPr>
      <t>단위라 값이 바뀌지 않는 칸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수정 불필요</t>
    </r>
    <r>
      <rPr>
        <i/>
        <sz val="9"/>
        <color rgb="FF9A948B"/>
        <rFont val="Arial"/>
        <family val="2"/>
      </rPr>
      <t>).</t>
    </r>
  </si>
  <si>
    <t>필드명</t>
  </si>
  <si>
    <t>설명</t>
  </si>
  <si>
    <r>
      <rPr>
        <b/>
        <sz val="10"/>
        <color rgb="FF1B2A44"/>
        <rFont val="Noto Sans CJK SC"/>
        <family val="2"/>
      </rPr>
      <t xml:space="preserve">예시 값 </t>
    </r>
    <r>
      <rPr>
        <b/>
        <sz val="10"/>
        <color rgb="FF1B2A44"/>
        <rFont val="Arial"/>
        <family val="2"/>
      </rPr>
      <t>(</t>
    </r>
    <r>
      <rPr>
        <b/>
        <sz val="10"/>
        <color rgb="FF1B2A44"/>
        <rFont val="Noto Sans CJK SC"/>
        <family val="2"/>
      </rPr>
      <t>김</t>
    </r>
    <r>
      <rPr>
        <b/>
        <sz val="10"/>
        <color rgb="FF1B2A44"/>
        <rFont val="Arial"/>
        <family val="2"/>
      </rPr>
      <t xml:space="preserve">OO </t>
    </r>
    <r>
      <rPr>
        <b/>
        <sz val="10"/>
        <color rgb="FF1B2A44"/>
        <rFont val="Noto Sans CJK SC"/>
        <family val="2"/>
      </rPr>
      <t>님</t>
    </r>
    <r>
      <rPr>
        <b/>
        <sz val="10"/>
        <color rgb="FF1B2A44"/>
        <rFont val="Arial"/>
        <family val="2"/>
      </rPr>
      <t>)</t>
    </r>
  </si>
  <si>
    <t>name</t>
  </si>
  <si>
    <t>리포트에 표시할 대상자 이름</t>
  </si>
  <si>
    <r>
      <rPr>
        <sz val="10"/>
        <color rgb="FF1B2A44"/>
        <rFont val="Noto Sans CJK SC"/>
        <family val="2"/>
      </rPr>
      <t>김</t>
    </r>
    <r>
      <rPr>
        <sz val="10"/>
        <color rgb="FF1B2A44"/>
        <rFont val="Arial"/>
        <family val="2"/>
      </rPr>
      <t xml:space="preserve">OO </t>
    </r>
    <r>
      <rPr>
        <sz val="10"/>
        <color rgb="FF1B2A44"/>
        <rFont val="Noto Sans CJK SC"/>
        <family val="2"/>
      </rPr>
      <t>님</t>
    </r>
  </si>
  <si>
    <t>cancerType</t>
  </si>
  <si>
    <t>대상자의 암 종류</t>
  </si>
  <si>
    <t>유방암</t>
  </si>
  <si>
    <t>dateRange</t>
  </si>
  <si>
    <r>
      <rPr>
        <sz val="9.5"/>
        <color rgb="FF6B6459"/>
        <rFont val="Noto Sans CJK SC"/>
        <family val="2"/>
      </rPr>
      <t xml:space="preserve">전체 관리 기간 </t>
    </r>
    <r>
      <rPr>
        <sz val="9.5"/>
        <color rgb="FF6B6459"/>
        <rFont val="Arial"/>
        <family val="2"/>
      </rPr>
      <t>(</t>
    </r>
    <r>
      <rPr>
        <sz val="9.5"/>
        <color rgb="FF6B6459"/>
        <rFont val="Noto Sans CJK SC"/>
        <family val="2"/>
      </rPr>
      <t>시작일 – 종료일</t>
    </r>
    <r>
      <rPr>
        <sz val="9.5"/>
        <color rgb="FF6B6459"/>
        <rFont val="Arial"/>
        <family val="2"/>
      </rPr>
      <t>)</t>
    </r>
  </si>
  <si>
    <t>2026.06.15 – 09.14</t>
  </si>
  <si>
    <t>총 방문 횟수</t>
  </si>
  <si>
    <r>
      <rPr>
        <sz val="9.5"/>
        <color rgb="FF6B6459"/>
        <rFont val="Noto Sans CJK SC"/>
        <family val="2"/>
      </rPr>
      <t xml:space="preserve">전체 회차 수 — </t>
    </r>
    <r>
      <rPr>
        <sz val="9.5"/>
        <color rgb="FF6B6459"/>
        <rFont val="Arial"/>
        <family val="2"/>
      </rPr>
      <t>02_</t>
    </r>
    <r>
      <rPr>
        <sz val="9.5"/>
        <color rgb="FF6B6459"/>
        <rFont val="Noto Sans CJK SC"/>
        <family val="2"/>
      </rPr>
      <t>요약 탭의 회차 타임라인 행 수를 세어 자동 계산됩니다</t>
    </r>
    <r>
      <rPr>
        <sz val="9.5"/>
        <color rgb="FF6B6459"/>
        <rFont val="Arial"/>
        <family val="2"/>
      </rPr>
      <t>.</t>
    </r>
  </si>
  <si>
    <t>리포트 발행일</t>
  </si>
  <si>
    <r>
      <rPr>
        <sz val="9.5"/>
        <color rgb="FF6B6459"/>
        <rFont val="Noto Sans CJK SC"/>
        <family val="2"/>
      </rPr>
      <t>리포트를 발행</t>
    </r>
    <r>
      <rPr>
        <sz val="9.5"/>
        <color rgb="FF6B6459"/>
        <rFont val="Arial"/>
        <family val="2"/>
      </rPr>
      <t>/</t>
    </r>
    <r>
      <rPr>
        <sz val="9.5"/>
        <color rgb="FF6B6459"/>
        <rFont val="Noto Sans CJK SC"/>
        <family val="2"/>
      </rPr>
      <t>인쇄하는 날짜</t>
    </r>
  </si>
  <si>
    <t>2026.09.14</t>
  </si>
  <si>
    <r>
      <rPr>
        <b/>
        <sz val="14"/>
        <color rgb="FFFFFFFF"/>
        <rFont val="Arial"/>
        <family val="2"/>
      </rPr>
      <t xml:space="preserve">02 · </t>
    </r>
    <r>
      <rPr>
        <b/>
        <sz val="14"/>
        <color rgb="FFFFFFFF"/>
        <rFont val="Noto Sans CJK SC"/>
        <family val="2"/>
      </rPr>
      <t xml:space="preserve">요약 </t>
    </r>
    <r>
      <rPr>
        <b/>
        <sz val="14"/>
        <color rgb="FFFFFFFF"/>
        <rFont val="Arial"/>
        <family val="2"/>
      </rPr>
      <t>(Summary)</t>
    </r>
  </si>
  <si>
    <r>
      <rPr>
        <i/>
        <sz val="9"/>
        <color rgb="FF6B6459"/>
        <rFont val="Noto Sans CJK SC"/>
        <family val="2"/>
      </rPr>
      <t xml:space="preserve">리포트 </t>
    </r>
    <r>
      <rPr>
        <i/>
        <sz val="9"/>
        <color rgb="FF6B6459"/>
        <rFont val="Arial"/>
        <family val="2"/>
      </rPr>
      <t>2</t>
    </r>
    <r>
      <rPr>
        <i/>
        <sz val="9"/>
        <color rgb="FF6B6459"/>
        <rFont val="Noto Sans CJK SC"/>
        <family val="2"/>
      </rPr>
      <t>페이지</t>
    </r>
    <r>
      <rPr>
        <i/>
        <sz val="9"/>
        <color rgb="FF6B6459"/>
        <rFont val="Arial"/>
        <family val="2"/>
      </rPr>
      <t xml:space="preserve">. </t>
    </r>
    <r>
      <rPr>
        <i/>
        <sz val="9"/>
        <color rgb="FF6B6459"/>
        <rFont val="Noto Sans CJK SC"/>
        <family val="2"/>
      </rPr>
      <t xml:space="preserve">상단 타임라인과 </t>
    </r>
    <r>
      <rPr>
        <i/>
        <sz val="9"/>
        <color rgb="FF6B6459"/>
        <rFont val="Arial"/>
        <family val="2"/>
      </rPr>
      <t>3</t>
    </r>
    <r>
      <rPr>
        <i/>
        <sz val="9"/>
        <color rgb="FF6B6459"/>
        <rFont val="Noto Sans CJK SC"/>
        <family val="2"/>
      </rPr>
      <t>개 섹션</t>
    </r>
    <r>
      <rPr>
        <i/>
        <sz val="9"/>
        <color rgb="FF6B6459"/>
        <rFont val="Arial"/>
        <family val="2"/>
      </rPr>
      <t>(</t>
    </r>
    <r>
      <rPr>
        <i/>
        <sz val="9"/>
        <color rgb="FF6B6459"/>
        <rFont val="Noto Sans CJK SC"/>
        <family val="2"/>
      </rPr>
      <t xml:space="preserve">변화 </t>
    </r>
    <r>
      <rPr>
        <i/>
        <sz val="9"/>
        <color rgb="FF6B6459"/>
        <rFont val="Arial"/>
        <family val="2"/>
      </rPr>
      <t xml:space="preserve">· </t>
    </r>
    <r>
      <rPr>
        <i/>
        <sz val="9"/>
        <color rgb="FF6B6459"/>
        <rFont val="Noto Sans CJK SC"/>
        <family val="2"/>
      </rPr>
      <t xml:space="preserve">실천 </t>
    </r>
    <r>
      <rPr>
        <i/>
        <sz val="9"/>
        <color rgb="FF6B6459"/>
        <rFont val="Arial"/>
        <family val="2"/>
      </rPr>
      <t xml:space="preserve">· </t>
    </r>
    <r>
      <rPr>
        <i/>
        <sz val="9"/>
        <color rgb="FF6B6459"/>
        <rFont val="Noto Sans CJK SC"/>
        <family val="2"/>
      </rPr>
      <t>관리</t>
    </r>
    <r>
      <rPr>
        <i/>
        <sz val="9"/>
        <color rgb="FF6B6459"/>
        <rFont val="Arial"/>
        <family val="2"/>
      </rPr>
      <t>)</t>
    </r>
    <r>
      <rPr>
        <i/>
        <sz val="9"/>
        <color rgb="FF6B6459"/>
        <rFont val="Noto Sans CJK SC"/>
        <family val="2"/>
      </rPr>
      <t>으로 구성됩니다</t>
    </r>
    <r>
      <rPr>
        <i/>
        <sz val="9"/>
        <color rgb="FF6B6459"/>
        <rFont val="Arial"/>
        <family val="2"/>
      </rPr>
      <t>.</t>
    </r>
  </si>
  <si>
    <r>
      <rPr>
        <b/>
        <sz val="11"/>
        <color rgb="FFFFFFFF"/>
        <rFont val="Noto Sans CJK SC"/>
        <family val="2"/>
      </rPr>
      <t xml:space="preserve">회차 타임라인 </t>
    </r>
    <r>
      <rPr>
        <b/>
        <sz val="11"/>
        <color rgb="FFFFFFFF"/>
        <rFont val="Arial"/>
        <family val="2"/>
      </rPr>
      <t xml:space="preserve">(visits) — </t>
    </r>
    <r>
      <rPr>
        <b/>
        <sz val="11"/>
        <color rgb="FFFFFFFF"/>
        <rFont val="Noto Sans CJK SC"/>
        <family val="2"/>
      </rPr>
      <t xml:space="preserve">상단에 점으로 표시되는 </t>
    </r>
    <r>
      <rPr>
        <b/>
        <sz val="11"/>
        <color rgb="FFFFFFFF"/>
        <rFont val="Arial"/>
        <family val="2"/>
      </rPr>
      <t>1~6</t>
    </r>
    <r>
      <rPr>
        <b/>
        <sz val="11"/>
        <color rgb="FFFFFFFF"/>
        <rFont val="Noto Sans CJK SC"/>
        <family val="2"/>
      </rPr>
      <t>차</t>
    </r>
  </si>
  <si>
    <r>
      <rPr>
        <b/>
        <sz val="10"/>
        <color rgb="FF1B2A44"/>
        <rFont val="Noto Sans CJK SC"/>
        <family val="2"/>
      </rPr>
      <t>회차</t>
    </r>
    <r>
      <rPr>
        <b/>
        <sz val="10"/>
        <color rgb="FF1B2A44"/>
        <rFont val="Arial"/>
        <family val="2"/>
      </rPr>
      <t>(no)</t>
    </r>
  </si>
  <si>
    <r>
      <rPr>
        <b/>
        <sz val="10"/>
        <color rgb="FF1B2A44"/>
        <rFont val="Noto Sans CJK SC"/>
        <family val="2"/>
      </rPr>
      <t>날짜</t>
    </r>
    <r>
      <rPr>
        <b/>
        <sz val="10"/>
        <color rgb="FF1B2A44"/>
        <rFont val="Arial"/>
        <family val="2"/>
      </rPr>
      <t>(date)</t>
    </r>
  </si>
  <si>
    <r>
      <rPr>
        <b/>
        <sz val="10"/>
        <color rgb="FF1B2A44"/>
        <rFont val="Noto Sans CJK SC"/>
        <family val="2"/>
      </rPr>
      <t>상태</t>
    </r>
    <r>
      <rPr>
        <b/>
        <sz val="10"/>
        <color rgb="FF1B2A44"/>
        <rFont val="Arial"/>
        <family val="2"/>
      </rPr>
      <t>(status: done/current/upcoming)</t>
    </r>
  </si>
  <si>
    <t>1</t>
  </si>
  <si>
    <t>06.15</t>
  </si>
  <si>
    <t>done</t>
  </si>
  <si>
    <t>2</t>
  </si>
  <si>
    <t>06.29</t>
  </si>
  <si>
    <t>3</t>
  </si>
  <si>
    <t>07.13</t>
  </si>
  <si>
    <t>4</t>
  </si>
  <si>
    <t>07.27</t>
  </si>
  <si>
    <t>5</t>
  </si>
  <si>
    <t>08.17</t>
  </si>
  <si>
    <t>6</t>
  </si>
  <si>
    <t>09.14</t>
  </si>
  <si>
    <t>current</t>
  </si>
  <si>
    <r>
      <rPr>
        <b/>
        <sz val="11"/>
        <color rgb="FFFFFFFF"/>
        <rFont val="Noto Sans CJK SC"/>
        <family val="2"/>
      </rPr>
      <t xml:space="preserve">① 이런 변화가 있었어요 </t>
    </r>
    <r>
      <rPr>
        <b/>
        <sz val="11"/>
        <color rgb="FFFFFFFF"/>
        <rFont val="Arial"/>
        <family val="2"/>
      </rPr>
      <t>(summary.stats) — 4</t>
    </r>
    <r>
      <rPr>
        <b/>
        <sz val="11"/>
        <color rgb="FFFFFFFF"/>
        <rFont val="Noto Sans CJK SC"/>
        <family val="2"/>
      </rPr>
      <t>개 통계 박스</t>
    </r>
  </si>
  <si>
    <r>
      <rPr>
        <b/>
        <sz val="10"/>
        <color rgb="FF1B2A44"/>
        <rFont val="Noto Sans CJK SC"/>
        <family val="2"/>
      </rPr>
      <t>값</t>
    </r>
    <r>
      <rPr>
        <b/>
        <sz val="10"/>
        <color rgb="FF1B2A44"/>
        <rFont val="Arial"/>
        <family val="2"/>
      </rPr>
      <t>(value)</t>
    </r>
  </si>
  <si>
    <r>
      <rPr>
        <b/>
        <sz val="10"/>
        <color rgb="FF1B2A44"/>
        <rFont val="Noto Sans CJK SC"/>
        <family val="2"/>
      </rPr>
      <t>라벨</t>
    </r>
    <r>
      <rPr>
        <b/>
        <sz val="10"/>
        <color rgb="FF1B2A44"/>
        <rFont val="Arial"/>
        <family val="2"/>
      </rPr>
      <t>(label)</t>
    </r>
  </si>
  <si>
    <r>
      <rPr>
        <b/>
        <sz val="10"/>
        <color rgb="FF1B2A44"/>
        <rFont val="Noto Sans CJK SC"/>
        <family val="2"/>
      </rPr>
      <t>보조설명</t>
    </r>
    <r>
      <rPr>
        <b/>
        <sz val="10"/>
        <color rgb="FF1B2A44"/>
        <rFont val="Arial"/>
        <family val="2"/>
      </rPr>
      <t>(sub)</t>
    </r>
  </si>
  <si>
    <t>새로 익힌 운동</t>
  </si>
  <si>
    <r>
      <rPr>
        <sz val="10"/>
        <color rgb="FF1B2A44"/>
        <rFont val="Noto Sans CJK SC"/>
        <family val="2"/>
      </rPr>
      <t xml:space="preserve">스트레칭 </t>
    </r>
    <r>
      <rPr>
        <sz val="10"/>
        <color rgb="FF1B2A44"/>
        <rFont val="Arial"/>
        <family val="2"/>
      </rPr>
      <t xml:space="preserve">· </t>
    </r>
    <r>
      <rPr>
        <sz val="10"/>
        <color rgb="FF1B2A44"/>
        <rFont val="Noto Sans CJK SC"/>
        <family val="2"/>
      </rPr>
      <t>기능성 훈련</t>
    </r>
  </si>
  <si>
    <r>
      <rPr>
        <sz val="10"/>
        <color rgb="FF6B6459"/>
        <rFont val="Arial"/>
        <family val="2"/>
      </rPr>
      <t xml:space="preserve">SPPB </t>
    </r>
    <r>
      <rPr>
        <sz val="10"/>
        <color rgb="FF6B6459"/>
        <rFont val="Noto Sans CJK SC"/>
        <family val="2"/>
      </rPr>
      <t>총점</t>
    </r>
  </si>
  <si>
    <t>체중</t>
  </si>
  <si>
    <t>21.9</t>
  </si>
  <si>
    <r>
      <rPr>
        <sz val="10"/>
        <color rgb="FF6B6459"/>
        <rFont val="Arial"/>
        <family val="2"/>
      </rPr>
      <t>BMI(</t>
    </r>
    <r>
      <rPr>
        <sz val="10"/>
        <color rgb="FF6B6459"/>
        <rFont val="Noto Sans CJK SC"/>
        <family val="2"/>
      </rPr>
      <t>참고정보</t>
    </r>
    <r>
      <rPr>
        <sz val="10"/>
        <color rgb="FF6B6459"/>
        <rFont val="Arial"/>
        <family val="2"/>
      </rPr>
      <t>)</t>
    </r>
  </si>
  <si>
    <t>22.4 → 21.9</t>
  </si>
  <si>
    <t>summary.narrative</t>
  </si>
  <si>
    <t>①섹션 하단 해설 문단</t>
  </si>
  <si>
    <r>
      <rPr>
        <sz val="10"/>
        <color rgb="FF1B2A44"/>
        <rFont val="Arial"/>
        <family val="2"/>
      </rPr>
      <t xml:space="preserve">SPPB </t>
    </r>
    <r>
      <rPr>
        <sz val="10"/>
        <color rgb="FF1B2A44"/>
        <rFont val="Noto Sans CJK SC"/>
        <family val="2"/>
      </rPr>
      <t xml:space="preserve">점수와 </t>
    </r>
    <r>
      <rPr>
        <sz val="10"/>
        <color rgb="FF1B2A44"/>
        <rFont val="Arial"/>
        <family val="2"/>
      </rPr>
      <t xml:space="preserve">4m </t>
    </r>
    <r>
      <rPr>
        <sz val="10"/>
        <color rgb="FF1B2A44"/>
        <rFont val="Noto Sans CJK SC"/>
        <family val="2"/>
      </rPr>
      <t>보행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의자 일어서기 수행시간까지 함께 좋아졌어요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다양한 운동을 새로 익히며 꾸준히 참여해주셨어요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체중은 소폭 감소했으며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부종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수분 변화 가능성을 함께 확인하며 지켜보고 있어요</t>
    </r>
    <r>
      <rPr>
        <sz val="10"/>
        <color rgb="FF1B2A44"/>
        <rFont val="Arial"/>
        <family val="2"/>
      </rPr>
      <t>. BMI</t>
    </r>
    <r>
      <rPr>
        <sz val="10"/>
        <color rgb="FF1B2A44"/>
        <rFont val="Noto Sans CJK SC"/>
        <family val="2"/>
      </rPr>
      <t>는 성과지표가 아닌 참고정보로만 병기합니다</t>
    </r>
    <r>
      <rPr>
        <sz val="10"/>
        <color rgb="FF1B2A44"/>
        <rFont val="Arial"/>
        <family val="2"/>
      </rPr>
      <t>.</t>
    </r>
  </si>
  <si>
    <r>
      <rPr>
        <b/>
        <sz val="11"/>
        <color rgb="FFFFFFFF"/>
        <rFont val="Noto Sans CJK SC"/>
        <family val="2"/>
      </rPr>
      <t xml:space="preserve">② 이렇게 실천했어요 </t>
    </r>
    <r>
      <rPr>
        <b/>
        <sz val="11"/>
        <color rgb="FFFFFFFF"/>
        <rFont val="Arial"/>
        <family val="2"/>
      </rPr>
      <t xml:space="preserve">(practice.groups) — </t>
    </r>
    <r>
      <rPr>
        <b/>
        <sz val="11"/>
        <color rgb="FFFFFFFF"/>
        <rFont val="Noto Sans CJK SC"/>
        <family val="2"/>
      </rPr>
      <t xml:space="preserve">운동 </t>
    </r>
    <r>
      <rPr>
        <b/>
        <sz val="11"/>
        <color rgb="FFFFFFFF"/>
        <rFont val="Arial"/>
        <family val="2"/>
      </rPr>
      <t xml:space="preserve">/ </t>
    </r>
    <r>
      <rPr>
        <b/>
        <sz val="11"/>
        <color rgb="FFFFFFFF"/>
        <rFont val="Noto Sans CJK SC"/>
        <family val="2"/>
      </rPr>
      <t xml:space="preserve">영양 </t>
    </r>
    <r>
      <rPr>
        <b/>
        <sz val="11"/>
        <color rgb="FFFFFFFF"/>
        <rFont val="Arial"/>
        <family val="2"/>
      </rPr>
      <t xml:space="preserve">/ </t>
    </r>
    <r>
      <rPr>
        <b/>
        <sz val="11"/>
        <color rgb="FFFFFFFF"/>
        <rFont val="Noto Sans CJK SC"/>
        <family val="2"/>
      </rPr>
      <t>심리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Noto Sans CJK SC"/>
        <family val="2"/>
      </rPr>
      <t>연계 시 그룹별 박스</t>
    </r>
  </si>
  <si>
    <r>
      <rPr>
        <b/>
        <sz val="10"/>
        <color rgb="FF1B2A44"/>
        <rFont val="Noto Sans CJK SC"/>
        <family val="2"/>
      </rPr>
      <t>그룹명</t>
    </r>
    <r>
      <rPr>
        <b/>
        <sz val="10"/>
        <color rgb="FF1B2A44"/>
        <rFont val="Arial"/>
        <family val="2"/>
      </rPr>
      <t>(group)</t>
    </r>
  </si>
  <si>
    <t>운동</t>
  </si>
  <si>
    <t>전체 방문</t>
  </si>
  <si>
    <r>
      <rPr>
        <sz val="10"/>
        <color rgb="FF1B2A44"/>
        <rFont val="Arial"/>
        <family val="2"/>
      </rPr>
      <t>1</t>
    </r>
    <r>
      <rPr>
        <sz val="10"/>
        <color rgb="FF1B2A44"/>
        <rFont val="Noto Sans CJK SC"/>
        <family val="2"/>
      </rPr>
      <t>회</t>
    </r>
  </si>
  <si>
    <t>컨디션 저하로 강도 조정</t>
  </si>
  <si>
    <r>
      <rPr>
        <sz val="10"/>
        <color rgb="FF1B2A44"/>
        <rFont val="Arial"/>
        <family val="2"/>
      </rPr>
      <t>7</t>
    </r>
    <r>
      <rPr>
        <sz val="10"/>
        <color rgb="FF1B2A44"/>
        <rFont val="Noto Sans CJK SC"/>
        <family val="2"/>
      </rPr>
      <t>일</t>
    </r>
  </si>
  <si>
    <t>수면 모니터링</t>
  </si>
  <si>
    <t>영양</t>
  </si>
  <si>
    <t>영양사 면담</t>
  </si>
  <si>
    <r>
      <rPr>
        <sz val="10"/>
        <color rgb="FF1B2A44"/>
        <rFont val="Arial"/>
        <family val="2"/>
      </rPr>
      <t>14</t>
    </r>
    <r>
      <rPr>
        <sz val="10"/>
        <color rgb="FF1B2A44"/>
        <rFont val="Noto Sans CJK SC"/>
        <family val="2"/>
      </rPr>
      <t>일</t>
    </r>
  </si>
  <si>
    <t>식이일지 기록</t>
  </si>
  <si>
    <t>별도 전달</t>
  </si>
  <si>
    <t>식이 리포트</t>
  </si>
  <si>
    <r>
      <rPr>
        <sz val="10"/>
        <color rgb="FF6B6459"/>
        <rFont val="Noto Sans CJK SC"/>
        <family val="2"/>
      </rPr>
      <t>심리</t>
    </r>
    <r>
      <rPr>
        <sz val="10"/>
        <color rgb="FF6B6459"/>
        <rFont val="Arial"/>
        <family val="2"/>
      </rPr>
      <t>·</t>
    </r>
    <r>
      <rPr>
        <sz val="10"/>
        <color rgb="FF6B6459"/>
        <rFont val="Noto Sans CJK SC"/>
        <family val="2"/>
      </rPr>
      <t>연계 시</t>
    </r>
  </si>
  <si>
    <t>심리상담 참여</t>
  </si>
  <si>
    <t>치료 스트레스 관리</t>
  </si>
  <si>
    <t>상담 주제</t>
  </si>
  <si>
    <t>practice.narrative</t>
  </si>
  <si>
    <t>②섹션 하단 해설 문단</t>
  </si>
  <si>
    <r>
      <rPr>
        <sz val="10"/>
        <color rgb="FF1B2A44"/>
        <rFont val="Arial"/>
        <family val="2"/>
      </rPr>
      <t>1~2</t>
    </r>
    <r>
      <rPr>
        <sz val="10"/>
        <color rgb="FF1B2A44"/>
        <rFont val="Noto Sans CJK SC"/>
        <family val="2"/>
      </rPr>
      <t>회차 평가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계획 이후 저항밴드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밸런스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기능성 훈련까지 순서대로 배우셨어요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 xml:space="preserve">대상자분의 필요에 맞춰 영양사와 </t>
    </r>
    <r>
      <rPr>
        <sz val="10"/>
        <color rgb="FF1B2A44"/>
        <rFont val="Arial"/>
        <family val="2"/>
      </rPr>
      <t>4</t>
    </r>
    <r>
      <rPr>
        <sz val="10"/>
        <color rgb="FF1B2A44"/>
        <rFont val="Noto Sans CJK SC"/>
        <family val="2"/>
      </rPr>
      <t xml:space="preserve">회 면담하고 </t>
    </r>
    <r>
      <rPr>
        <sz val="10"/>
        <color rgb="FF1B2A44"/>
        <rFont val="Arial"/>
        <family val="2"/>
      </rPr>
      <t>2</t>
    </r>
    <r>
      <rPr>
        <sz val="10"/>
        <color rgb="FF1B2A44"/>
        <rFont val="Noto Sans CJK SC"/>
        <family val="2"/>
      </rPr>
      <t>주간 식이일지를 기록해주셨으며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이 내용은 별도 식이 리포트로 정리해드릴 예정이에요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치료 과정의 심리적 부담을 다루기 위해 심리상담도 함께 연계해드렸어요</t>
    </r>
    <r>
      <rPr>
        <sz val="10"/>
        <color rgb="FF1B2A44"/>
        <rFont val="Arial"/>
        <family val="2"/>
      </rPr>
      <t>.</t>
    </r>
  </si>
  <si>
    <r>
      <rPr>
        <b/>
        <sz val="11"/>
        <color rgb="FFFFFFFF"/>
        <rFont val="Noto Sans CJK SC"/>
        <family val="2"/>
      </rPr>
      <t xml:space="preserve">③ 이렇게 관리해드렸어요 </t>
    </r>
    <r>
      <rPr>
        <b/>
        <sz val="11"/>
        <color rgb="FFFFFFFF"/>
        <rFont val="Arial"/>
        <family val="2"/>
      </rPr>
      <t xml:space="preserve">(care.stats) — </t>
    </r>
    <r>
      <rPr>
        <b/>
        <sz val="11"/>
        <color rgb="FFFFFFFF"/>
        <rFont val="Noto Sans CJK SC"/>
        <family val="2"/>
      </rPr>
      <t xml:space="preserve">최대 </t>
    </r>
    <r>
      <rPr>
        <b/>
        <sz val="11"/>
        <color rgb="FFFFFFFF"/>
        <rFont val="Arial"/>
        <family val="2"/>
      </rPr>
      <t>5</t>
    </r>
    <r>
      <rPr>
        <b/>
        <sz val="11"/>
        <color rgb="FFFFFFFF"/>
        <rFont val="Noto Sans CJK SC"/>
        <family val="2"/>
      </rPr>
      <t>개 통계 박스</t>
    </r>
  </si>
  <si>
    <t>매 회차 컨디션 체크</t>
  </si>
  <si>
    <r>
      <rPr>
        <sz val="10"/>
        <color rgb="FF6B6459"/>
        <rFont val="Noto Sans CJK SC"/>
        <family val="2"/>
      </rPr>
      <t>일정</t>
    </r>
    <r>
      <rPr>
        <sz val="10"/>
        <color rgb="FF6B6459"/>
        <rFont val="Arial"/>
        <family val="2"/>
      </rPr>
      <t>·</t>
    </r>
    <r>
      <rPr>
        <sz val="10"/>
        <color rgb="FF6B6459"/>
        <rFont val="Noto Sans CJK SC"/>
        <family val="2"/>
      </rPr>
      <t>강도 조정</t>
    </r>
  </si>
  <si>
    <r>
      <rPr>
        <sz val="10"/>
        <color rgb="FF1B2A44"/>
        <rFont val="Arial"/>
        <family val="2"/>
      </rPr>
      <t>2</t>
    </r>
    <r>
      <rPr>
        <sz val="10"/>
        <color rgb="FF1B2A44"/>
        <rFont val="Noto Sans CJK SC"/>
        <family val="2"/>
      </rPr>
      <t>종</t>
    </r>
  </si>
  <si>
    <t>유방암 특이 측정 항목</t>
  </si>
  <si>
    <r>
      <rPr>
        <sz val="10"/>
        <color rgb="FF1B2A44"/>
        <rFont val="Arial"/>
        <family val="2"/>
      </rPr>
      <t>2</t>
    </r>
    <r>
      <rPr>
        <sz val="10"/>
        <color rgb="FF1B2A44"/>
        <rFont val="Noto Sans CJK SC"/>
        <family val="2"/>
      </rPr>
      <t>회</t>
    </r>
  </si>
  <si>
    <t>영양사 협진</t>
  </si>
  <si>
    <t>care.narrative</t>
  </si>
  <si>
    <t>③섹션 하단 해설 문단</t>
  </si>
  <si>
    <r>
      <rPr>
        <sz val="10"/>
        <color rgb="FF1B2A44"/>
        <rFont val="Noto Sans CJK SC"/>
        <family val="2"/>
      </rPr>
      <t>매 회차 시작 전 컨디션을 확인하고 통증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부종 변화를 관찰하며 필요 시 일정과 강도를 조정해드렸어요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유방암 환자분은 양팔 부피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 xml:space="preserve">어깨 </t>
    </r>
    <r>
      <rPr>
        <sz val="10"/>
        <color rgb="FF1B2A44"/>
        <rFont val="Arial"/>
        <family val="2"/>
      </rPr>
      <t>ROM</t>
    </r>
    <r>
      <rPr>
        <sz val="10"/>
        <color rgb="FF1B2A44"/>
        <rFont val="Noto Sans CJK SC"/>
        <family val="2"/>
      </rPr>
      <t>을 별도로 측정해 함께 기록했고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영양사와 협진해 식이 상태를 모니터링하며 별도 식이 리포트로 전달해드릴 예정이에요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필요한 경우 심리상담도 함께 연계해드렸어요</t>
    </r>
    <r>
      <rPr>
        <sz val="10"/>
        <color rgb="FF1B2A44"/>
        <rFont val="Arial"/>
        <family val="2"/>
      </rPr>
      <t>.</t>
    </r>
  </si>
  <si>
    <r>
      <rPr>
        <b/>
        <sz val="11"/>
        <color rgb="FFFFFFFF"/>
        <rFont val="Noto Sans CJK SC"/>
        <family val="2"/>
      </rPr>
      <t xml:space="preserve">담당자 소통 </t>
    </r>
    <r>
      <rPr>
        <b/>
        <sz val="11"/>
        <color rgb="FFFFFFFF"/>
        <rFont val="Arial"/>
        <family val="2"/>
      </rPr>
      <t xml:space="preserve">· </t>
    </r>
    <r>
      <rPr>
        <b/>
        <sz val="11"/>
        <color rgb="FFFFFFFF"/>
        <rFont val="Noto Sans CJK SC"/>
        <family val="2"/>
      </rPr>
      <t xml:space="preserve">교수 피드백 </t>
    </r>
    <r>
      <rPr>
        <b/>
        <sz val="11"/>
        <color rgb="FFFFFFFF"/>
        <rFont val="Arial"/>
        <family val="2"/>
      </rPr>
      <t xml:space="preserve">· </t>
    </r>
    <r>
      <rPr>
        <b/>
        <sz val="11"/>
        <color rgb="FFFFFFFF"/>
        <rFont val="Noto Sans CJK SC"/>
        <family val="2"/>
      </rPr>
      <t xml:space="preserve">다음 계획 </t>
    </r>
    <r>
      <rPr>
        <b/>
        <sz val="11"/>
        <color rgb="FFFFFFFF"/>
        <rFont val="Arial"/>
        <family val="2"/>
      </rPr>
      <t>(careDetail)</t>
    </r>
  </si>
  <si>
    <t>careDetail.callCount</t>
  </si>
  <si>
    <r>
      <rPr>
        <sz val="9.5"/>
        <color rgb="FF6B6459"/>
        <rFont val="Noto Sans CJK SC"/>
        <family val="2"/>
      </rPr>
      <t>담당자</t>
    </r>
    <r>
      <rPr>
        <sz val="9.5"/>
        <color rgb="FF6B6459"/>
        <rFont val="Arial"/>
        <family val="2"/>
      </rPr>
      <t>(</t>
    </r>
    <r>
      <rPr>
        <sz val="9.5"/>
        <color rgb="FF6B6459"/>
        <rFont val="Noto Sans CJK SC"/>
        <family val="2"/>
      </rPr>
      <t>케어니</t>
    </r>
    <r>
      <rPr>
        <sz val="9.5"/>
        <color rgb="FF6B6459"/>
        <rFont val="Arial"/>
        <family val="2"/>
      </rPr>
      <t xml:space="preserve">) </t>
    </r>
    <r>
      <rPr>
        <sz val="9.5"/>
        <color rgb="FF6B6459"/>
        <rFont val="Noto Sans CJK SC"/>
        <family val="2"/>
      </rPr>
      <t>소통 횟수</t>
    </r>
  </si>
  <si>
    <t>careDetail.professorFeedback</t>
  </si>
  <si>
    <r>
      <rPr>
        <sz val="9.5"/>
        <color rgb="FF6B6459"/>
        <rFont val="Noto Sans CJK SC"/>
        <family val="2"/>
      </rPr>
      <t>교수</t>
    </r>
    <r>
      <rPr>
        <sz val="9.5"/>
        <color rgb="FF6B6459"/>
        <rFont val="Arial"/>
        <family val="2"/>
      </rPr>
      <t>/</t>
    </r>
    <r>
      <rPr>
        <sz val="9.5"/>
        <color rgb="FF6B6459"/>
        <rFont val="Noto Sans CJK SC"/>
        <family val="2"/>
      </rPr>
      <t>의료진 피드백 문구</t>
    </r>
  </si>
  <si>
    <r>
      <rPr>
        <sz val="10"/>
        <color rgb="FF1B2A44"/>
        <rFont val="Noto Sans CJK SC"/>
        <family val="2"/>
      </rPr>
      <t>통증 관리에 대해 진료 시 꼭 상의해보시고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자세 교정 운동을 꾸준히 이어가시면 좋겠습니다</t>
    </r>
    <r>
      <rPr>
        <sz val="10"/>
        <color rgb="FF1B2A44"/>
        <rFont val="Arial"/>
        <family val="2"/>
      </rPr>
      <t>.</t>
    </r>
  </si>
  <si>
    <t>careDetail.nextPlanText</t>
  </si>
  <si>
    <t>다음 계획 안내 문구</t>
  </si>
  <si>
    <r>
      <rPr>
        <sz val="10"/>
        <color rgb="FF1B2A44"/>
        <rFont val="Noto Sans CJK SC"/>
        <family val="2"/>
      </rPr>
      <t>지금과 같은 속도라면 무리하지 않아도 충분해요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다음 방문까지는 아래 내용을 함께 챙겨봐 주세요</t>
    </r>
    <r>
      <rPr>
        <sz val="10"/>
        <color rgb="FF1B2A44"/>
        <rFont val="Arial"/>
        <family val="2"/>
      </rPr>
      <t>.</t>
    </r>
  </si>
  <si>
    <t>careDetail.nextPlanChips</t>
  </si>
  <si>
    <r>
      <rPr>
        <sz val="9.5"/>
        <color rgb="FF6B6459"/>
        <rFont val="Noto Sans CJK SC"/>
        <family val="2"/>
      </rPr>
      <t xml:space="preserve">다음 계획 실천 항목 </t>
    </r>
    <r>
      <rPr>
        <sz val="9.5"/>
        <color rgb="FF6B6459"/>
        <rFont val="Arial"/>
        <family val="2"/>
      </rPr>
      <t>(</t>
    </r>
    <r>
      <rPr>
        <sz val="9.5"/>
        <color rgb="FF6B6459"/>
        <rFont val="Noto Sans CJK SC"/>
        <family val="2"/>
      </rPr>
      <t>여러 개면 줄바꿈으로 구분</t>
    </r>
    <r>
      <rPr>
        <sz val="9.5"/>
        <color rgb="FF6B6459"/>
        <rFont val="Arial"/>
        <family val="2"/>
      </rPr>
      <t>)</t>
    </r>
  </si>
  <si>
    <r>
      <rPr>
        <sz val="10"/>
        <color rgb="FF1B2A44"/>
        <rFont val="Noto Sans CJK SC"/>
        <family val="2"/>
      </rPr>
      <t xml:space="preserve">엉덩이 들기 </t>
    </r>
    <r>
      <rPr>
        <sz val="10"/>
        <color rgb="FF1B2A44"/>
        <rFont val="Arial"/>
        <family val="2"/>
      </rPr>
      <t xml:space="preserve">· </t>
    </r>
    <r>
      <rPr>
        <sz val="10"/>
        <color rgb="FF1B2A44"/>
        <rFont val="Noto Sans CJK SC"/>
        <family val="2"/>
      </rPr>
      <t>날개뼈 모으기 자세 익히기
통증 있는 날은 기록해두기
진료 시 통증 관리 상담하기</t>
    </r>
  </si>
  <si>
    <r>
      <rPr>
        <b/>
        <sz val="14"/>
        <color rgb="FFFFFFFF"/>
        <rFont val="Arial"/>
        <family val="2"/>
      </rPr>
      <t xml:space="preserve">03 · </t>
    </r>
    <r>
      <rPr>
        <b/>
        <sz val="14"/>
        <color rgb="FFFFFFFF"/>
        <rFont val="Noto Sans CJK SC"/>
        <family val="2"/>
      </rPr>
      <t xml:space="preserve">회차별 실천 기록 </t>
    </r>
    <r>
      <rPr>
        <b/>
        <sz val="14"/>
        <color rgb="FFFFFFFF"/>
        <rFont val="Arial"/>
        <family val="2"/>
      </rPr>
      <t>(Session Log)</t>
    </r>
  </si>
  <si>
    <r>
      <rPr>
        <i/>
        <sz val="9"/>
        <color rgb="FF6B6459"/>
        <rFont val="Noto Sans CJK SC"/>
        <family val="2"/>
      </rPr>
      <t xml:space="preserve">리포트 </t>
    </r>
    <r>
      <rPr>
        <i/>
        <sz val="9"/>
        <color rgb="FF6B6459"/>
        <rFont val="Arial"/>
        <family val="2"/>
      </rPr>
      <t>3</t>
    </r>
    <r>
      <rPr>
        <i/>
        <sz val="9"/>
        <color rgb="FF6B6459"/>
        <rFont val="Noto Sans CJK SC"/>
        <family val="2"/>
      </rPr>
      <t>페이지</t>
    </r>
    <r>
      <rPr>
        <i/>
        <sz val="9"/>
        <color rgb="FF6B6459"/>
        <rFont val="Arial"/>
        <family val="2"/>
      </rPr>
      <t>. 1~6</t>
    </r>
    <r>
      <rPr>
        <i/>
        <sz val="9"/>
        <color rgb="FF6B6459"/>
        <rFont val="Noto Sans CJK SC"/>
        <family val="2"/>
      </rPr>
      <t xml:space="preserve">회차 카드가 </t>
    </r>
    <r>
      <rPr>
        <i/>
        <sz val="9"/>
        <color rgb="FF6B6459"/>
        <rFont val="Arial"/>
        <family val="2"/>
      </rPr>
      <t>2</t>
    </r>
    <r>
      <rPr>
        <i/>
        <sz val="9"/>
        <color rgb="FF6B6459"/>
        <rFont val="Noto Sans CJK SC"/>
        <family val="2"/>
      </rPr>
      <t>열로 배치됩니다</t>
    </r>
    <r>
      <rPr>
        <i/>
        <sz val="9"/>
        <color rgb="FF6B6459"/>
        <rFont val="Arial"/>
        <family val="2"/>
      </rPr>
      <t>.</t>
    </r>
  </si>
  <si>
    <r>
      <rPr>
        <i/>
        <sz val="9"/>
        <color rgb="FF9A948B"/>
        <rFont val="Arial"/>
        <family val="2"/>
      </rPr>
      <t xml:space="preserve">※ note </t>
    </r>
    <r>
      <rPr>
        <i/>
        <sz val="9"/>
        <color rgb="FF9A948B"/>
        <rFont val="Noto Sans CJK SC"/>
        <family val="2"/>
      </rPr>
      <t>열은 카드 하단에 붙는 작은 칩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영양</t>
    </r>
    <r>
      <rPr>
        <i/>
        <sz val="9"/>
        <color rgb="FF9A948B"/>
        <rFont val="Arial"/>
        <family val="2"/>
      </rPr>
      <t>=</t>
    </r>
    <r>
      <rPr>
        <i/>
        <sz val="9"/>
        <color rgb="FF9A948B"/>
        <rFont val="Noto Sans CJK SC"/>
        <family val="2"/>
      </rPr>
      <t>초록</t>
    </r>
    <r>
      <rPr>
        <i/>
        <sz val="9"/>
        <color rgb="FF9A948B"/>
        <rFont val="Arial"/>
        <family val="2"/>
      </rPr>
      <t>/</t>
    </r>
    <r>
      <rPr>
        <i/>
        <sz val="9"/>
        <color rgb="FF9A948B"/>
        <rFont val="Noto Sans CJK SC"/>
        <family val="2"/>
      </rPr>
      <t>심리</t>
    </r>
    <r>
      <rPr>
        <i/>
        <sz val="9"/>
        <color rgb="FF9A948B"/>
        <rFont val="Arial"/>
        <family val="2"/>
      </rPr>
      <t>=</t>
    </r>
    <r>
      <rPr>
        <i/>
        <sz val="9"/>
        <color rgb="FF9A948B"/>
        <rFont val="Noto Sans CJK SC"/>
        <family val="2"/>
      </rPr>
      <t>보라</t>
    </r>
    <r>
      <rPr>
        <i/>
        <sz val="9"/>
        <color rgb="FF9A948B"/>
        <rFont val="Arial"/>
        <family val="2"/>
      </rPr>
      <t>)</t>
    </r>
    <r>
      <rPr>
        <i/>
        <sz val="9"/>
        <color rgb="FF9A948B"/>
        <rFont val="Noto Sans CJK SC"/>
        <family val="2"/>
      </rPr>
      <t>입니다</t>
    </r>
    <r>
      <rPr>
        <i/>
        <sz val="9"/>
        <color rgb="FF9A948B"/>
        <rFont val="Arial"/>
        <family val="2"/>
      </rPr>
      <t xml:space="preserve">. </t>
    </r>
    <r>
      <rPr>
        <i/>
        <sz val="9"/>
        <color rgb="FF9A948B"/>
        <rFont val="Noto Sans CJK SC"/>
        <family val="2"/>
      </rPr>
      <t>해당 회차에 없으면 비워두세요</t>
    </r>
    <r>
      <rPr>
        <i/>
        <sz val="9"/>
        <color rgb="FF9A948B"/>
        <rFont val="Arial"/>
        <family val="2"/>
      </rPr>
      <t>. (</t>
    </r>
    <r>
      <rPr>
        <i/>
        <sz val="9"/>
        <color rgb="FF9A948B"/>
        <rFont val="Noto Sans CJK SC"/>
        <family val="2"/>
      </rPr>
      <t xml:space="preserve">이 열의 </t>
    </r>
    <r>
      <rPr>
        <i/>
        <sz val="9"/>
        <color rgb="FF9A948B"/>
        <rFont val="Arial"/>
        <family val="2"/>
      </rPr>
      <t xml:space="preserve">nutrition/psych </t>
    </r>
    <r>
      <rPr>
        <i/>
        <sz val="9"/>
        <color rgb="FF9A948B"/>
        <rFont val="Noto Sans CJK SC"/>
        <family val="2"/>
      </rPr>
      <t xml:space="preserve">개수는 </t>
    </r>
    <r>
      <rPr>
        <i/>
        <sz val="9"/>
        <color rgb="FF9A948B"/>
        <rFont val="Arial"/>
        <family val="2"/>
      </rPr>
      <t>02_</t>
    </r>
    <r>
      <rPr>
        <i/>
        <sz val="9"/>
        <color rgb="FF9A948B"/>
        <rFont val="Noto Sans CJK SC"/>
        <family val="2"/>
      </rPr>
      <t>요약 탭에서 자동으로 집계됩니다</t>
    </r>
    <r>
      <rPr>
        <i/>
        <sz val="9"/>
        <color rgb="FF9A948B"/>
        <rFont val="Arial"/>
        <family val="2"/>
      </rPr>
      <t>.)</t>
    </r>
  </si>
  <si>
    <r>
      <rPr>
        <b/>
        <sz val="10"/>
        <color rgb="FF1B2A44"/>
        <rFont val="Noto Sans CJK SC"/>
        <family val="2"/>
      </rPr>
      <t>단계태그</t>
    </r>
    <r>
      <rPr>
        <b/>
        <sz val="10"/>
        <color rgb="FF1B2A44"/>
        <rFont val="Arial"/>
        <family val="2"/>
      </rPr>
      <t>(tag)</t>
    </r>
  </si>
  <si>
    <r>
      <rPr>
        <b/>
        <sz val="10"/>
        <color rgb="FF1B2A44"/>
        <rFont val="Noto Sans CJK SC"/>
        <family val="2"/>
      </rPr>
      <t>제목</t>
    </r>
    <r>
      <rPr>
        <b/>
        <sz val="10"/>
        <color rgb="FF1B2A44"/>
        <rFont val="Arial"/>
        <family val="2"/>
      </rPr>
      <t>(title)</t>
    </r>
  </si>
  <si>
    <r>
      <rPr>
        <b/>
        <sz val="10"/>
        <color rgb="FF1B2A44"/>
        <rFont val="Noto Sans CJK SC"/>
        <family val="2"/>
      </rPr>
      <t>설명</t>
    </r>
    <r>
      <rPr>
        <b/>
        <sz val="10"/>
        <color rgb="FF1B2A44"/>
        <rFont val="Arial"/>
        <family val="2"/>
      </rPr>
      <t>(desc)</t>
    </r>
  </si>
  <si>
    <r>
      <rPr>
        <b/>
        <sz val="10"/>
        <color rgb="FF1B2A44"/>
        <rFont val="Noto Sans CJK SC"/>
        <family val="2"/>
      </rPr>
      <t>메모유형</t>
    </r>
    <r>
      <rPr>
        <b/>
        <sz val="10"/>
        <color rgb="FF1B2A44"/>
        <rFont val="Arial"/>
        <family val="2"/>
      </rPr>
      <t>(note.type: nutrition/psych)</t>
    </r>
  </si>
  <si>
    <r>
      <rPr>
        <b/>
        <sz val="10"/>
        <color rgb="FF1B2A44"/>
        <rFont val="Noto Sans CJK SC"/>
        <family val="2"/>
      </rPr>
      <t>메모내용</t>
    </r>
    <r>
      <rPr>
        <b/>
        <sz val="10"/>
        <color rgb="FF1B2A44"/>
        <rFont val="Arial"/>
        <family val="2"/>
      </rPr>
      <t>(note.text)</t>
    </r>
  </si>
  <si>
    <t>eval</t>
  </si>
  <si>
    <r>
      <rPr>
        <sz val="10"/>
        <color rgb="FF1B2A44"/>
        <rFont val="Noto Sans CJK SC"/>
        <family val="2"/>
      </rPr>
      <t>기초 스트레칭과 호흡 훈련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걷기 적응 운동을 배우셨어요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</si>
  <si>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>몸을 서서히 움직임에 적응시키고 호흡과 근육의 긴장을 풀어주는 동작이며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시작 시점의 컨디션이 양호해 표준 강도로 진행했어요</t>
    </r>
    <r>
      <rPr>
        <sz val="10"/>
        <color rgb="FF1B2A44"/>
        <rFont val="Arial"/>
        <family val="2"/>
      </rPr>
      <t>.</t>
    </r>
  </si>
  <si>
    <t>nutrition</t>
  </si>
  <si>
    <r>
      <rPr>
        <sz val="10"/>
        <color rgb="FF1B2A44"/>
        <rFont val="Noto Sans CJK SC"/>
        <family val="2"/>
      </rPr>
      <t xml:space="preserve">영양상담 </t>
    </r>
    <r>
      <rPr>
        <sz val="10"/>
        <color rgb="FF1B2A44"/>
        <rFont val="Arial"/>
        <family val="2"/>
      </rPr>
      <t xml:space="preserve">· </t>
    </r>
    <r>
      <rPr>
        <sz val="10"/>
        <color rgb="FF1B2A44"/>
        <rFont val="Noto Sans CJK SC"/>
        <family val="2"/>
      </rPr>
      <t>초기 니즈 파악</t>
    </r>
  </si>
  <si>
    <t>plan</t>
  </si>
  <si>
    <r>
      <rPr>
        <sz val="10"/>
        <color rgb="FF1B2A44"/>
        <rFont val="Noto Sans CJK SC"/>
        <family val="2"/>
      </rPr>
      <t>저항밴드 운동과 균형 훈련을 배우셨어요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</si>
  <si>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>상하지 근력과 중심 잡는 능력을 키우는 동작이며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경미한 피로감이 있어 세트 수를 줄이고 안전한 강도로 진행했어요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</si>
  <si>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 xml:space="preserve">영양상담 </t>
    </r>
    <r>
      <rPr>
        <sz val="10"/>
        <color rgb="FF1B2A44"/>
        <rFont val="Arial"/>
        <family val="2"/>
      </rPr>
      <t xml:space="preserve">· </t>
    </r>
    <r>
      <rPr>
        <sz val="10"/>
        <color rgb="FF1B2A44"/>
        <rFont val="Noto Sans CJK SC"/>
        <family val="2"/>
      </rPr>
      <t xml:space="preserve">식이일지 </t>
    </r>
    <r>
      <rPr>
        <sz val="10"/>
        <color rgb="FF1B2A44"/>
        <rFont val="Arial"/>
        <family val="2"/>
      </rPr>
      <t>1</t>
    </r>
    <r>
      <rPr>
        <sz val="10"/>
        <color rgb="FF1B2A44"/>
        <rFont val="Noto Sans CJK SC"/>
        <family val="2"/>
      </rPr>
      <t>주차 점검</t>
    </r>
  </si>
  <si>
    <t>new</t>
  </si>
  <si>
    <r>
      <rPr>
        <sz val="10"/>
        <color rgb="FF1B2A44"/>
        <rFont val="Noto Sans CJK SC"/>
        <family val="2"/>
      </rPr>
      <t>밸런스 운동과 계단 오르내리기 적응 훈련을 배우셨어요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</si>
  <si>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>일상에서 자주 쓰이는 균형감각과 하지 근력을 키우는 동작이며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컨디션이 회복되어 새로운 동작을 함께 시작했어요</t>
    </r>
    <r>
      <rPr>
        <sz val="10"/>
        <color rgb="FF1B2A44"/>
        <rFont val="Arial"/>
        <family val="2"/>
      </rPr>
      <t>.</t>
    </r>
  </si>
  <si>
    <t>add</t>
  </si>
  <si>
    <r>
      <rPr>
        <sz val="10"/>
        <color rgb="FF1B2A44"/>
        <rFont val="Noto Sans CJK SC"/>
        <family val="2"/>
      </rPr>
      <t>의자에서 일어서기와 물건 들어 올리기 동작을 추가로 배우셨어요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</si>
  <si>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>하체 근력과 균형감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상지 기능을 함께 키우는 동작이며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항암치료 일정이 안정적이라 반복 수를 소폭 늘려 진행했어요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</si>
  <si>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 xml:space="preserve">영양상담 </t>
    </r>
    <r>
      <rPr>
        <sz val="10"/>
        <color rgb="FF1B2A44"/>
        <rFont val="Arial"/>
        <family val="2"/>
      </rPr>
      <t xml:space="preserve">· </t>
    </r>
    <r>
      <rPr>
        <sz val="10"/>
        <color rgb="FF1B2A44"/>
        <rFont val="Noto Sans CJK SC"/>
        <family val="2"/>
      </rPr>
      <t xml:space="preserve">식이일지 </t>
    </r>
    <r>
      <rPr>
        <sz val="10"/>
        <color rgb="FF1B2A44"/>
        <rFont val="Arial"/>
        <family val="2"/>
      </rPr>
      <t>2</t>
    </r>
    <r>
      <rPr>
        <sz val="10"/>
        <color rgb="FF1B2A44"/>
        <rFont val="Noto Sans CJK SC"/>
        <family val="2"/>
      </rPr>
      <t>주차 점검</t>
    </r>
  </si>
  <si>
    <t>review</t>
  </si>
  <si>
    <r>
      <rPr>
        <sz val="10"/>
        <color rgb="FF1B2A44"/>
        <rFont val="Noto Sans CJK SC"/>
        <family val="2"/>
      </rPr>
      <t>유산소 운동과 저항 훈련을 복합적으로 재점검했어요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</si>
  <si>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>심폐지구력과 근력을 함께 유지하는 동작이며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컨디션 저하가 있어 휴식 간격을 늘리고 무리하지 않는 선에서 진행했어요</t>
    </r>
    <r>
      <rPr>
        <sz val="10"/>
        <color rgb="FF1B2A44"/>
        <rFont val="Arial"/>
        <family val="2"/>
      </rPr>
      <t>.</t>
    </r>
  </si>
  <si>
    <t>psych</t>
  </si>
  <si>
    <r>
      <rPr>
        <sz val="10"/>
        <color rgb="FF1B2A44"/>
        <rFont val="Noto Sans CJK SC"/>
        <family val="2"/>
      </rPr>
      <t xml:space="preserve">심리상담 연계 </t>
    </r>
    <r>
      <rPr>
        <sz val="10"/>
        <color rgb="FF1B2A44"/>
        <rFont val="Arial"/>
        <family val="2"/>
      </rPr>
      <t xml:space="preserve">· </t>
    </r>
    <r>
      <rPr>
        <sz val="10"/>
        <color rgb="FF1B2A44"/>
        <rFont val="Noto Sans CJK SC"/>
        <family val="2"/>
      </rPr>
      <t>치료 스트레스 관리</t>
    </r>
  </si>
  <si>
    <r>
      <rPr>
        <sz val="10"/>
        <color rgb="FF1B2A44"/>
        <rFont val="Noto Sans CJK SC"/>
        <family val="2"/>
      </rPr>
      <t>지금까지 배운 운동을 종합적으로 수행하며 마무리했어요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</si>
  <si>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>스트레칭부터 저항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균형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기능성 훈련까지 전 구간을 안정적으로 수행하며</t>
    </r>
    <r>
      <rPr>
        <sz val="10"/>
        <color rgb="FF1B2A44"/>
        <rFont val="Arial"/>
        <family val="2"/>
      </rPr>
      <t>, 3</t>
    </r>
    <r>
      <rPr>
        <sz val="10"/>
        <color rgb="FF1B2A44"/>
        <rFont val="Noto Sans CJK SC"/>
        <family val="2"/>
      </rPr>
      <t>개월 프로그램을 완주하셨어요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</si>
  <si>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 xml:space="preserve">영양 최종 상담 </t>
    </r>
    <r>
      <rPr>
        <sz val="10"/>
        <color rgb="FF1B2A44"/>
        <rFont val="Arial"/>
        <family val="2"/>
      </rPr>
      <t xml:space="preserve">· </t>
    </r>
    <r>
      <rPr>
        <sz val="10"/>
        <color rgb="FF1B2A44"/>
        <rFont val="Noto Sans CJK SC"/>
        <family val="2"/>
      </rPr>
      <t>변화 요약</t>
    </r>
  </si>
  <si>
    <t>sessionLog.footnote</t>
  </si>
  <si>
    <t>표 하단 각주</t>
  </si>
  <si>
    <r>
      <rPr>
        <sz val="10"/>
        <color rgb="FF1B2A44"/>
        <rFont val="Noto Sans CJK SC"/>
        <family val="2"/>
      </rPr>
      <t>회차별 운동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영양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심리 구성은 매 회차 시작 전 확인한 컨디션과 필요도에 따라 조정되었습니다</t>
    </r>
    <r>
      <rPr>
        <sz val="10"/>
        <color rgb="FF1B2A44"/>
        <rFont val="Arial"/>
        <family val="2"/>
      </rPr>
      <t>.</t>
    </r>
  </si>
  <si>
    <r>
      <rPr>
        <b/>
        <sz val="14"/>
        <color rgb="FFFFFFFF"/>
        <rFont val="Arial"/>
        <family val="2"/>
      </rPr>
      <t xml:space="preserve">04 · </t>
    </r>
    <r>
      <rPr>
        <b/>
        <sz val="14"/>
        <color rgb="FFFFFFFF"/>
        <rFont val="Noto Sans CJK SC"/>
        <family val="2"/>
      </rPr>
      <t xml:space="preserve">운동별 체력 변화 </t>
    </r>
    <r>
      <rPr>
        <b/>
        <sz val="14"/>
        <color rgb="FFFFFFFF"/>
        <rFont val="Arial"/>
        <family val="2"/>
      </rPr>
      <t>(Capability Change)</t>
    </r>
  </si>
  <si>
    <r>
      <rPr>
        <i/>
        <sz val="9"/>
        <color rgb="FF6B6459"/>
        <rFont val="Noto Sans CJK SC"/>
        <family val="2"/>
      </rPr>
      <t xml:space="preserve">리포트 </t>
    </r>
    <r>
      <rPr>
        <i/>
        <sz val="9"/>
        <color rgb="FF6B6459"/>
        <rFont val="Arial"/>
        <family val="2"/>
      </rPr>
      <t>4</t>
    </r>
    <r>
      <rPr>
        <i/>
        <sz val="9"/>
        <color rgb="FF6B6459"/>
        <rFont val="Noto Sans CJK SC"/>
        <family val="2"/>
      </rPr>
      <t>페이지</t>
    </r>
    <r>
      <rPr>
        <i/>
        <sz val="9"/>
        <color rgb="FF6B6459"/>
        <rFont val="Arial"/>
        <family val="2"/>
      </rPr>
      <t xml:space="preserve">. </t>
    </r>
    <r>
      <rPr>
        <i/>
        <sz val="9"/>
        <color rgb="FF6B6459"/>
        <rFont val="Noto Sans CJK SC"/>
        <family val="2"/>
      </rPr>
      <t>특정 동작의 수행 전</t>
    </r>
    <r>
      <rPr>
        <i/>
        <sz val="9"/>
        <color rgb="FF6B6459"/>
        <rFont val="Arial"/>
        <family val="2"/>
      </rPr>
      <t>/</t>
    </r>
    <r>
      <rPr>
        <i/>
        <sz val="9"/>
        <color rgb="FF6B6459"/>
        <rFont val="Noto Sans CJK SC"/>
        <family val="2"/>
      </rPr>
      <t>후 비교 카드입니다</t>
    </r>
    <r>
      <rPr>
        <i/>
        <sz val="9"/>
        <color rgb="FF6B6459"/>
        <rFont val="Arial"/>
        <family val="2"/>
      </rPr>
      <t>.</t>
    </r>
  </si>
  <si>
    <r>
      <rPr>
        <i/>
        <sz val="9"/>
        <color rgb="FF9A948B"/>
        <rFont val="Noto Sans CJK SC"/>
        <family val="2"/>
      </rPr>
      <t>※ 이 데이터가 통째로 없으면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비교할 만큼 데이터가 쌓이지 않은 경우</t>
    </r>
    <r>
      <rPr>
        <i/>
        <sz val="9"/>
        <color rgb="FF9A948B"/>
        <rFont val="Arial"/>
        <family val="2"/>
      </rPr>
      <t xml:space="preserve">) </t>
    </r>
    <r>
      <rPr>
        <i/>
        <sz val="9"/>
        <color rgb="FF9A948B"/>
        <rFont val="Noto Sans CJK SC"/>
        <family val="2"/>
      </rPr>
      <t>이 페이지 자체가 자동으로 생략됩니다</t>
    </r>
    <r>
      <rPr>
        <i/>
        <sz val="9"/>
        <color rgb="FF9A948B"/>
        <rFont val="Arial"/>
        <family val="2"/>
      </rPr>
      <t>. (before/after</t>
    </r>
    <r>
      <rPr>
        <i/>
        <sz val="9"/>
        <color rgb="FF9A948B"/>
        <rFont val="Noto Sans CJK SC"/>
        <family val="2"/>
      </rPr>
      <t>가 서술형이라 자동계산 대상 칸은 없습니다</t>
    </r>
    <r>
      <rPr>
        <i/>
        <sz val="9"/>
        <color rgb="FF9A948B"/>
        <rFont val="Arial"/>
        <family val="2"/>
      </rPr>
      <t>.)</t>
    </r>
  </si>
  <si>
    <r>
      <rPr>
        <b/>
        <sz val="10"/>
        <color rgb="FF1B2A44"/>
        <rFont val="Noto Sans CJK SC"/>
        <family val="2"/>
      </rPr>
      <t>동작명</t>
    </r>
    <r>
      <rPr>
        <b/>
        <sz val="10"/>
        <color rgb="FF1B2A44"/>
        <rFont val="Arial"/>
        <family val="2"/>
      </rPr>
      <t>(name)</t>
    </r>
  </si>
  <si>
    <r>
      <rPr>
        <b/>
        <sz val="10"/>
        <color rgb="FF1B2A44"/>
        <rFont val="Noto Sans CJK SC"/>
        <family val="2"/>
      </rPr>
      <t>이전</t>
    </r>
    <r>
      <rPr>
        <b/>
        <sz val="10"/>
        <color rgb="FF1B2A44"/>
        <rFont val="Arial"/>
        <family val="2"/>
      </rPr>
      <t>(before)</t>
    </r>
  </si>
  <si>
    <r>
      <rPr>
        <b/>
        <sz val="10"/>
        <color rgb="FF1B2A44"/>
        <rFont val="Noto Sans CJK SC"/>
        <family val="2"/>
      </rPr>
      <t>이후</t>
    </r>
    <r>
      <rPr>
        <b/>
        <sz val="10"/>
        <color rgb="FF1B2A44"/>
        <rFont val="Arial"/>
        <family val="2"/>
      </rPr>
      <t>(after)</t>
    </r>
  </si>
  <si>
    <r>
      <rPr>
        <b/>
        <sz val="10"/>
        <color rgb="FF1B2A44"/>
        <rFont val="Noto Sans CJK SC"/>
        <family val="2"/>
      </rPr>
      <t>코멘트</t>
    </r>
    <r>
      <rPr>
        <b/>
        <sz val="10"/>
        <color rgb="FF1B2A44"/>
        <rFont val="Arial"/>
        <family val="2"/>
      </rPr>
      <t>(note)</t>
    </r>
  </si>
  <si>
    <t>의자에서 일어서기</t>
  </si>
  <si>
    <t>손으로 의자를 짚어야 일어남</t>
  </si>
  <si>
    <t>손 지지 없이 스스로 일어섬</t>
  </si>
  <si>
    <r>
      <rPr>
        <sz val="10"/>
        <color rgb="FF1B2A44"/>
        <rFont val="Arial"/>
        <family val="2"/>
      </rPr>
      <t>4</t>
    </r>
    <r>
      <rPr>
        <sz val="10"/>
        <color rgb="FF1B2A44"/>
        <rFont val="Noto Sans CJK SC"/>
        <family val="2"/>
      </rPr>
      <t>차에 처음 배우실 땐 지지가 꼭 필요했는데</t>
    </r>
    <r>
      <rPr>
        <sz val="10"/>
        <color rgb="FF1B2A44"/>
        <rFont val="Arial"/>
        <family val="2"/>
      </rPr>
      <t>, 6</t>
    </r>
    <r>
      <rPr>
        <sz val="10"/>
        <color rgb="FF1B2A44"/>
        <rFont val="Noto Sans CJK SC"/>
        <family val="2"/>
      </rPr>
      <t>차에는 지지 없이도 안정적으로 하실 만큼 하체 근력과 균형감이 늘었어요</t>
    </r>
    <r>
      <rPr>
        <sz val="10"/>
        <color rgb="FF1B2A44"/>
        <rFont val="Arial"/>
        <family val="2"/>
      </rPr>
      <t>.</t>
    </r>
  </si>
  <si>
    <t>벽 짚고 팔굽혀펴기</t>
  </si>
  <si>
    <t>몇 번 못하고 힘들어하심</t>
  </si>
  <si>
    <t>자세가 안정되어 편안하게 반복</t>
  </si>
  <si>
    <r>
      <rPr>
        <sz val="10"/>
        <color rgb="FF1B2A44"/>
        <rFont val="Arial"/>
        <family val="2"/>
      </rPr>
      <t>3</t>
    </r>
    <r>
      <rPr>
        <sz val="10"/>
        <color rgb="FF1B2A44"/>
        <rFont val="Noto Sans CJK SC"/>
        <family val="2"/>
      </rPr>
      <t>차에 자세 잡는 것조차 어려워하셨는데</t>
    </r>
    <r>
      <rPr>
        <sz val="10"/>
        <color rgb="FF1B2A44"/>
        <rFont val="Arial"/>
        <family val="2"/>
      </rPr>
      <t>, 5</t>
    </r>
    <r>
      <rPr>
        <sz val="10"/>
        <color rgb="FF1B2A44"/>
        <rFont val="Noto Sans CJK SC"/>
        <family val="2"/>
      </rPr>
      <t>차 복습 때는 스스로 자세를 교정하며 여러 번 반복하실 수 있었어요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</si>
  <si>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 xml:space="preserve">엉덩이 들기 </t>
    </r>
    <r>
      <rPr>
        <sz val="10"/>
        <color rgb="FF1B2A44"/>
        <rFont val="Arial"/>
        <family val="2"/>
      </rPr>
      <t xml:space="preserve">· </t>
    </r>
    <r>
      <rPr>
        <sz val="10"/>
        <color rgb="FF1B2A44"/>
        <rFont val="Noto Sans CJK SC"/>
        <family val="2"/>
      </rPr>
      <t>날개뼈 모으기</t>
    </r>
  </si>
  <si>
    <r>
      <rPr>
        <sz val="10"/>
        <color rgb="FF1B2A44"/>
        <rFont val="Arial"/>
        <family val="2"/>
      </rPr>
      <t>6</t>
    </r>
    <r>
      <rPr>
        <sz val="10"/>
        <color rgb="FF1B2A44"/>
        <rFont val="Noto Sans CJK SC"/>
        <family val="2"/>
      </rPr>
      <t>차부터 새로 배우기 시작</t>
    </r>
  </si>
  <si>
    <t>동작과 자세를 익히는 단계</t>
  </si>
  <si>
    <r>
      <rPr>
        <sz val="10"/>
        <color rgb="FF1B2A44"/>
        <rFont val="Noto Sans CJK SC"/>
        <family val="2"/>
      </rPr>
      <t>그동안의 운동 부담이 안정되어 마지막 회차에 새로 더한 동작이며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아직은 정확한 자세를 익히는 중이라 앞으로 균형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어깨 근력을 함께 키워나갈 예정이에요</t>
    </r>
    <r>
      <rPr>
        <sz val="10"/>
        <color rgb="FF1B2A44"/>
        <rFont val="Arial"/>
        <family val="2"/>
      </rPr>
      <t>.</t>
    </r>
  </si>
  <si>
    <r>
      <rPr>
        <sz val="10"/>
        <color rgb="FF1B2A44"/>
        <rFont val="Noto Sans CJK SC"/>
        <family val="2"/>
      </rPr>
      <t>흉터 마사지</t>
    </r>
    <r>
      <rPr>
        <sz val="10"/>
        <color rgb="FF1B2A44"/>
        <rFont val="Arial"/>
        <family val="2"/>
      </rPr>
      <t>(</t>
    </r>
    <r>
      <rPr>
        <sz val="10"/>
        <color rgb="FF1B2A44"/>
        <rFont val="Noto Sans CJK SC"/>
        <family val="2"/>
      </rPr>
      <t>지그재그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원형</t>
    </r>
    <r>
      <rPr>
        <sz val="10"/>
        <color rgb="FF1B2A44"/>
        <rFont val="Arial"/>
        <family val="2"/>
      </rPr>
      <t>)</t>
    </r>
  </si>
  <si>
    <t>손끝으로 만지는 것도 조심스러움</t>
  </si>
  <si>
    <t>두 가지 방법을 혼자서도 진행</t>
  </si>
  <si>
    <r>
      <rPr>
        <sz val="10"/>
        <color rgb="FF1B2A44"/>
        <rFont val="Noto Sans CJK SC"/>
        <family val="2"/>
      </rPr>
      <t>수술 부위 유착을 예방하고 피부 유연성을 지켜주는 관리법으로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처음엔 낯설어하셨지만 지금은 방문이 없는 날에도 스스로 챙기실 수 있게 되었어요</t>
    </r>
    <r>
      <rPr>
        <sz val="10"/>
        <color rgb="FF1B2A44"/>
        <rFont val="Arial"/>
        <family val="2"/>
      </rPr>
      <t>.</t>
    </r>
  </si>
  <si>
    <t>저항밴드 다리 들어올리기</t>
  </si>
  <si>
    <t>옆으로 눕는 자세부터 어려워하심</t>
  </si>
  <si>
    <r>
      <rPr>
        <sz val="10"/>
        <color rgb="FF1B2A44"/>
        <rFont val="Noto Sans CJK SC"/>
        <family val="2"/>
      </rPr>
      <t xml:space="preserve">밴드 저항에도 </t>
    </r>
    <r>
      <rPr>
        <sz val="10"/>
        <color rgb="FF1B2A44"/>
        <rFont val="Arial"/>
        <family val="2"/>
      </rPr>
      <t>10</t>
    </r>
    <r>
      <rPr>
        <sz val="10"/>
        <color rgb="FF1B2A44"/>
        <rFont val="Noto Sans CJK SC"/>
        <family val="2"/>
      </rPr>
      <t>회 안정적으로 반복</t>
    </r>
  </si>
  <si>
    <r>
      <rPr>
        <sz val="10"/>
        <color rgb="FF1B2A44"/>
        <rFont val="Arial"/>
        <family val="2"/>
      </rPr>
      <t>2</t>
    </r>
    <r>
      <rPr>
        <sz val="10"/>
        <color rgb="FF1B2A44"/>
        <rFont val="Noto Sans CJK SC"/>
        <family val="2"/>
      </rPr>
      <t>차에는 자세를 잡는 것 자체를 힘들어하셨는데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지금은 저항밴드를 걸고도 흔들림 없이 반복하실 수 있을 만큼 고관절 주변 근력이 좋아졌어요</t>
    </r>
    <r>
      <rPr>
        <sz val="10"/>
        <color rgb="FF1B2A44"/>
        <rFont val="Arial"/>
        <family val="2"/>
      </rPr>
      <t>.</t>
    </r>
  </si>
  <si>
    <t>한 발로 서서 균형 잡기</t>
  </si>
  <si>
    <r>
      <rPr>
        <sz val="10"/>
        <color rgb="FF1B2A44"/>
        <rFont val="Arial"/>
        <family val="2"/>
      </rPr>
      <t>3</t>
    </r>
    <r>
      <rPr>
        <sz val="10"/>
        <color rgb="FF1B2A44"/>
        <rFont val="Noto Sans CJK SC"/>
        <family val="2"/>
      </rPr>
      <t>초 이상 버티기 어려워하심</t>
    </r>
  </si>
  <si>
    <r>
      <rPr>
        <sz val="10"/>
        <color rgb="FF1B2A44"/>
        <rFont val="Noto Sans CJK SC"/>
        <family val="2"/>
      </rPr>
      <t xml:space="preserve">양쪽 모두 </t>
    </r>
    <r>
      <rPr>
        <sz val="10"/>
        <color rgb="FF1B2A44"/>
        <rFont val="Arial"/>
        <family val="2"/>
      </rPr>
      <t>10</t>
    </r>
    <r>
      <rPr>
        <sz val="10"/>
        <color rgb="FF1B2A44"/>
        <rFont val="Noto Sans CJK SC"/>
        <family val="2"/>
      </rPr>
      <t>초 이상 안정적으로 유지</t>
    </r>
  </si>
  <si>
    <r>
      <rPr>
        <sz val="10"/>
        <color rgb="FF1B2A44"/>
        <rFont val="Noto Sans CJK SC"/>
        <family val="2"/>
      </rPr>
      <t>낙상 위험과 직결되는 동작인데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초반엔 손잡이 없이는 힘들어하셨지만 지금은 양쪽 다리 모두 안정적으로 버티실 수 있어요</t>
    </r>
    <r>
      <rPr>
        <sz val="10"/>
        <color rgb="FF1B2A44"/>
        <rFont val="Arial"/>
        <family val="2"/>
      </rPr>
      <t>.</t>
    </r>
  </si>
  <si>
    <t>capabilityChanges.closingQuote</t>
  </si>
  <si>
    <r>
      <rPr>
        <sz val="9.5"/>
        <color rgb="FF6B6459"/>
        <rFont val="Noto Sans CJK SC"/>
        <family val="2"/>
      </rPr>
      <t>페이지 하단 인용구</t>
    </r>
    <r>
      <rPr>
        <sz val="9.5"/>
        <color rgb="FF6B6459"/>
        <rFont val="Arial"/>
        <family val="2"/>
      </rPr>
      <t>(</t>
    </r>
    <r>
      <rPr>
        <sz val="9.5"/>
        <color rgb="FF6B6459"/>
        <rFont val="Noto Sans CJK SC"/>
        <family val="2"/>
      </rPr>
      <t>마무리 멘트</t>
    </r>
    <r>
      <rPr>
        <sz val="9.5"/>
        <color rgb="FF6B6459"/>
        <rFont val="Arial"/>
        <family val="2"/>
      </rPr>
      <t>)</t>
    </r>
  </si>
  <si>
    <r>
      <rPr>
        <sz val="10"/>
        <color rgb="FF1B2A44"/>
        <rFont val="Noto Sans CJK SC"/>
        <family val="2"/>
      </rPr>
      <t xml:space="preserve">지난 </t>
    </r>
    <r>
      <rPr>
        <sz val="10"/>
        <color rgb="FF1B2A44"/>
        <rFont val="Arial"/>
        <family val="2"/>
      </rPr>
      <t>3</t>
    </r>
    <r>
      <rPr>
        <sz val="10"/>
        <color rgb="FF1B2A44"/>
        <rFont val="Noto Sans CJK SC"/>
        <family val="2"/>
      </rPr>
      <t>개월은 새로운 목표치를 향해 달린 시간이 아니라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몸이 다시 할 수 있는 만큼을 스스로 되찾아 온 시간이었어요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손 지지 없이 일어나고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흉터를 스스로 관리하고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 xml:space="preserve">새로운 동작을 하나씩 더해가는 것 — 이 작은 변화들이 모여 다음 </t>
    </r>
    <r>
      <rPr>
        <sz val="10"/>
        <color rgb="FF1B2A44"/>
        <rFont val="Arial"/>
        <family val="2"/>
      </rPr>
      <t>3</t>
    </r>
    <r>
      <rPr>
        <sz val="10"/>
        <color rgb="FF1B2A44"/>
        <rFont val="Noto Sans CJK SC"/>
        <family val="2"/>
      </rPr>
      <t>개월을 더 편하게 만들어드릴 거예요</t>
    </r>
    <r>
      <rPr>
        <sz val="10"/>
        <color rgb="FF1B2A44"/>
        <rFont val="Arial"/>
        <family val="2"/>
      </rPr>
      <t>.</t>
    </r>
  </si>
  <si>
    <r>
      <rPr>
        <b/>
        <sz val="14"/>
        <color rgb="FFFFFFFF"/>
        <rFont val="Arial"/>
        <family val="2"/>
      </rPr>
      <t xml:space="preserve">05 · </t>
    </r>
    <r>
      <rPr>
        <b/>
        <sz val="14"/>
        <color rgb="FFFFFFFF"/>
        <rFont val="Noto Sans CJK SC"/>
        <family val="2"/>
      </rPr>
      <t xml:space="preserve">수행 지표로 확인한 변화 </t>
    </r>
    <r>
      <rPr>
        <b/>
        <sz val="14"/>
        <color rgb="FFFFFFFF"/>
        <rFont val="Arial"/>
        <family val="2"/>
      </rPr>
      <t>(Functional Change)</t>
    </r>
  </si>
  <si>
    <r>
      <rPr>
        <i/>
        <sz val="9"/>
        <color rgb="FF6B6459"/>
        <rFont val="Noto Sans CJK SC"/>
        <family val="2"/>
      </rPr>
      <t xml:space="preserve">리포트 </t>
    </r>
    <r>
      <rPr>
        <i/>
        <sz val="9"/>
        <color rgb="FF6B6459"/>
        <rFont val="Arial"/>
        <family val="2"/>
      </rPr>
      <t>5</t>
    </r>
    <r>
      <rPr>
        <i/>
        <sz val="9"/>
        <color rgb="FF6B6459"/>
        <rFont val="Noto Sans CJK SC"/>
        <family val="2"/>
      </rPr>
      <t>페이지</t>
    </r>
    <r>
      <rPr>
        <i/>
        <sz val="9"/>
        <color rgb="FF6B6459"/>
        <rFont val="Arial"/>
        <family val="2"/>
      </rPr>
      <t xml:space="preserve">. </t>
    </r>
    <r>
      <rPr>
        <i/>
        <sz val="9"/>
        <color rgb="FF6B6459"/>
        <rFont val="Noto Sans CJK SC"/>
        <family val="2"/>
      </rPr>
      <t xml:space="preserve">새로 익힌 운동 </t>
    </r>
    <r>
      <rPr>
        <i/>
        <sz val="9"/>
        <color rgb="FF6B6459"/>
        <rFont val="Arial"/>
        <family val="2"/>
      </rPr>
      <t xml:space="preserve">· SPPB </t>
    </r>
    <r>
      <rPr>
        <i/>
        <sz val="9"/>
        <color rgb="FF6B6459"/>
        <rFont val="Noto Sans CJK SC"/>
        <family val="2"/>
      </rPr>
      <t xml:space="preserve">변화 </t>
    </r>
    <r>
      <rPr>
        <i/>
        <sz val="9"/>
        <color rgb="FF6B6459"/>
        <rFont val="Arial"/>
        <family val="2"/>
      </rPr>
      <t xml:space="preserve">· </t>
    </r>
    <r>
      <rPr>
        <i/>
        <sz val="9"/>
        <color rgb="FF6B6459"/>
        <rFont val="Noto Sans CJK SC"/>
        <family val="2"/>
      </rPr>
      <t>체중</t>
    </r>
    <r>
      <rPr>
        <i/>
        <sz val="9"/>
        <color rgb="FF6B6459"/>
        <rFont val="Arial"/>
        <family val="2"/>
      </rPr>
      <t>/BMI 3</t>
    </r>
    <r>
      <rPr>
        <i/>
        <sz val="9"/>
        <color rgb="FF6B6459"/>
        <rFont val="Noto Sans CJK SC"/>
        <family val="2"/>
      </rPr>
      <t>개 블록입니다</t>
    </r>
    <r>
      <rPr>
        <i/>
        <sz val="9"/>
        <color rgb="FF6B6459"/>
        <rFont val="Arial"/>
        <family val="2"/>
      </rPr>
      <t>.</t>
    </r>
  </si>
  <si>
    <r>
      <rPr>
        <i/>
        <sz val="9"/>
        <color rgb="FF9A948B"/>
        <rFont val="Noto Sans CJK SC"/>
        <family val="2"/>
      </rPr>
      <t xml:space="preserve">※ 노란색 칸 </t>
    </r>
    <r>
      <rPr>
        <i/>
        <sz val="9"/>
        <color rgb="FF9A948B"/>
        <rFont val="Arial"/>
        <family val="2"/>
      </rPr>
      <t xml:space="preserve">= </t>
    </r>
    <r>
      <rPr>
        <i/>
        <sz val="9"/>
        <color rgb="FF9A948B"/>
        <rFont val="Noto Sans CJK SC"/>
        <family val="2"/>
      </rPr>
      <t xml:space="preserve">직접 입력하는 값 </t>
    </r>
    <r>
      <rPr>
        <i/>
        <sz val="9"/>
        <color rgb="FF9A948B"/>
        <rFont val="Arial"/>
        <family val="2"/>
      </rPr>
      <t xml:space="preserve">/ </t>
    </r>
    <r>
      <rPr>
        <i/>
        <sz val="9"/>
        <color rgb="FF9A948B"/>
        <rFont val="Noto Sans CJK SC"/>
        <family val="2"/>
      </rPr>
      <t>파란색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기울임</t>
    </r>
    <r>
      <rPr>
        <i/>
        <sz val="9"/>
        <color rgb="FF9A948B"/>
        <rFont val="Arial"/>
        <family val="2"/>
      </rPr>
      <t xml:space="preserve">) </t>
    </r>
    <r>
      <rPr>
        <i/>
        <sz val="9"/>
        <color rgb="FF9A948B"/>
        <rFont val="Noto Sans CJK SC"/>
        <family val="2"/>
      </rPr>
      <t xml:space="preserve">칸 </t>
    </r>
    <r>
      <rPr>
        <i/>
        <sz val="9"/>
        <color rgb="FF9A948B"/>
        <rFont val="Arial"/>
        <family val="2"/>
      </rPr>
      <t xml:space="preserve">= </t>
    </r>
    <r>
      <rPr>
        <i/>
        <sz val="9"/>
        <color rgb="FF9A948B"/>
        <rFont val="Noto Sans CJK SC"/>
        <family val="2"/>
      </rPr>
      <t>자동 계산되는 수식 칸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입력 불필요</t>
    </r>
    <r>
      <rPr>
        <i/>
        <sz val="9"/>
        <color rgb="FF9A948B"/>
        <rFont val="Arial"/>
        <family val="2"/>
      </rPr>
      <t xml:space="preserve">) / </t>
    </r>
    <r>
      <rPr>
        <i/>
        <sz val="9"/>
        <color rgb="FF9A948B"/>
        <rFont val="Noto Sans CJK SC"/>
        <family val="2"/>
      </rPr>
      <t xml:space="preserve">회색 칸 </t>
    </r>
    <r>
      <rPr>
        <i/>
        <sz val="9"/>
        <color rgb="FF9A948B"/>
        <rFont val="Arial"/>
        <family val="2"/>
      </rPr>
      <t xml:space="preserve">= </t>
    </r>
    <r>
      <rPr>
        <i/>
        <sz val="9"/>
        <color rgb="FF9A948B"/>
        <rFont val="Noto Sans CJK SC"/>
        <family val="2"/>
      </rPr>
      <t>리포트 구조상 고정된 항목명</t>
    </r>
    <r>
      <rPr>
        <i/>
        <sz val="9"/>
        <color rgb="FF9A948B"/>
        <rFont val="Arial"/>
        <family val="2"/>
      </rPr>
      <t>·</t>
    </r>
    <r>
      <rPr>
        <i/>
        <sz val="9"/>
        <color rgb="FF9A948B"/>
        <rFont val="Noto Sans CJK SC"/>
        <family val="2"/>
      </rPr>
      <t>단위라 값이 바뀌지 않는 칸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수정 불필요</t>
    </r>
    <r>
      <rPr>
        <i/>
        <sz val="9"/>
        <color rgb="FF9A948B"/>
        <rFont val="Arial"/>
        <family val="2"/>
      </rPr>
      <t xml:space="preserve">). SPPB </t>
    </r>
    <r>
      <rPr>
        <i/>
        <sz val="9"/>
        <color rgb="FF9A948B"/>
        <rFont val="Noto Sans CJK SC"/>
        <family val="2"/>
      </rPr>
      <t>첫점수</t>
    </r>
    <r>
      <rPr>
        <i/>
        <sz val="9"/>
        <color rgb="FF9A948B"/>
        <rFont val="Arial"/>
        <family val="2"/>
      </rPr>
      <t>/</t>
    </r>
    <r>
      <rPr>
        <i/>
        <sz val="9"/>
        <color rgb="FF9A948B"/>
        <rFont val="Noto Sans CJK SC"/>
        <family val="2"/>
      </rPr>
      <t xml:space="preserve">재점수는 각 하위검사 수행시간을 </t>
    </r>
    <r>
      <rPr>
        <i/>
        <sz val="9"/>
        <color rgb="FF9A948B"/>
        <rFont val="Arial"/>
        <family val="2"/>
      </rPr>
      <t xml:space="preserve">SPPB </t>
    </r>
    <r>
      <rPr>
        <i/>
        <sz val="9"/>
        <color rgb="FF9A948B"/>
        <rFont val="Noto Sans CJK SC"/>
        <family val="2"/>
      </rPr>
      <t>채점 기준표에 따라 사람이 직접 판정해 입력합니다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자동계산 불가 — 임상 판단 필요</t>
    </r>
    <r>
      <rPr>
        <i/>
        <sz val="9"/>
        <color rgb="FF9A948B"/>
        <rFont val="Arial"/>
        <family val="2"/>
      </rPr>
      <t>).</t>
    </r>
  </si>
  <si>
    <r>
      <rPr>
        <b/>
        <sz val="11"/>
        <color rgb="FFFFFFFF"/>
        <rFont val="Noto Sans CJK SC"/>
        <family val="2"/>
      </rPr>
      <t xml:space="preserve">이번 </t>
    </r>
    <r>
      <rPr>
        <b/>
        <sz val="11"/>
        <color rgb="FFFFFFFF"/>
        <rFont val="Arial"/>
        <family val="2"/>
      </rPr>
      <t>3</t>
    </r>
    <r>
      <rPr>
        <b/>
        <sz val="11"/>
        <color rgb="FFFFFFFF"/>
        <rFont val="Noto Sans CJK SC"/>
        <family val="2"/>
      </rPr>
      <t xml:space="preserve">개월 동안 익힌 운동 </t>
    </r>
    <r>
      <rPr>
        <b/>
        <sz val="11"/>
        <color rgb="FFFFFFFF"/>
        <rFont val="Arial"/>
        <family val="2"/>
      </rPr>
      <t>(functional.learnedExercises)</t>
    </r>
  </si>
  <si>
    <t>learnedExercises.badge</t>
  </si>
  <si>
    <r>
      <rPr>
        <sz val="9.5"/>
        <color rgb="FF6B6459"/>
        <rFont val="Noto Sans CJK SC"/>
        <family val="2"/>
      </rPr>
      <t>섹션 우측 상단 배지 문구 — 아래 목록 행 수로 자동 계산됩니다</t>
    </r>
    <r>
      <rPr>
        <sz val="9.5"/>
        <color rgb="FF6B6459"/>
        <rFont val="Arial"/>
        <family val="2"/>
      </rPr>
      <t>.</t>
    </r>
  </si>
  <si>
    <r>
      <rPr>
        <b/>
        <sz val="10"/>
        <color rgb="FF1B2A44"/>
        <rFont val="Noto Sans CJK SC"/>
        <family val="2"/>
      </rPr>
      <t>아이콘</t>
    </r>
    <r>
      <rPr>
        <b/>
        <sz val="10"/>
        <color rgb="FF1B2A44"/>
        <rFont val="Arial"/>
        <family val="2"/>
      </rPr>
      <t>(icon)</t>
    </r>
  </si>
  <si>
    <r>
      <rPr>
        <b/>
        <sz val="10"/>
        <color rgb="FF1B2A44"/>
        <rFont val="Noto Sans CJK SC"/>
        <family val="2"/>
      </rPr>
      <t>회차범위</t>
    </r>
    <r>
      <rPr>
        <b/>
        <sz val="10"/>
        <color rgb="FF1B2A44"/>
        <rFont val="Arial"/>
        <family val="2"/>
      </rPr>
      <t>(range)</t>
    </r>
  </si>
  <si>
    <t>stretch</t>
  </si>
  <si>
    <r>
      <rPr>
        <sz val="10"/>
        <color rgb="FF6B6459"/>
        <rFont val="Noto Sans CJK SC"/>
        <family val="2"/>
      </rPr>
      <t>스트레칭</t>
    </r>
    <r>
      <rPr>
        <sz val="10"/>
        <color rgb="FF6B6459"/>
        <rFont val="Arial"/>
        <family val="2"/>
      </rPr>
      <t>·</t>
    </r>
    <r>
      <rPr>
        <sz val="10"/>
        <color rgb="FF6B6459"/>
        <rFont val="Noto Sans CJK SC"/>
        <family val="2"/>
      </rPr>
      <t>호흡</t>
    </r>
  </si>
  <si>
    <r>
      <rPr>
        <sz val="10"/>
        <color rgb="FF1B2A44"/>
        <rFont val="Arial"/>
        <family val="2"/>
      </rPr>
      <t>1~2</t>
    </r>
    <r>
      <rPr>
        <sz val="10"/>
        <color rgb="FF1B2A44"/>
        <rFont val="Noto Sans CJK SC"/>
        <family val="2"/>
      </rPr>
      <t>회차</t>
    </r>
  </si>
  <si>
    <t>band</t>
  </si>
  <si>
    <r>
      <rPr>
        <sz val="10"/>
        <color rgb="FF6B6459"/>
        <rFont val="Noto Sans CJK SC"/>
        <family val="2"/>
      </rPr>
      <t>저항밴드</t>
    </r>
    <r>
      <rPr>
        <sz val="10"/>
        <color rgb="FF6B6459"/>
        <rFont val="Arial"/>
        <family val="2"/>
      </rPr>
      <t>·</t>
    </r>
    <r>
      <rPr>
        <sz val="10"/>
        <color rgb="FF6B6459"/>
        <rFont val="Noto Sans CJK SC"/>
        <family val="2"/>
      </rPr>
      <t>균형</t>
    </r>
  </si>
  <si>
    <r>
      <rPr>
        <sz val="10"/>
        <color rgb="FF1B2A44"/>
        <rFont val="Arial"/>
        <family val="2"/>
      </rPr>
      <t>2~3</t>
    </r>
    <r>
      <rPr>
        <sz val="10"/>
        <color rgb="FF1B2A44"/>
        <rFont val="Noto Sans CJK SC"/>
        <family val="2"/>
      </rPr>
      <t>회차</t>
    </r>
  </si>
  <si>
    <t>fn</t>
  </si>
  <si>
    <t>기능성 훈련</t>
  </si>
  <si>
    <r>
      <rPr>
        <sz val="10"/>
        <color rgb="FF1B2A44"/>
        <rFont val="Arial"/>
        <family val="2"/>
      </rPr>
      <t>4</t>
    </r>
    <r>
      <rPr>
        <sz val="10"/>
        <color rgb="FF1B2A44"/>
        <rFont val="Noto Sans CJK SC"/>
        <family val="2"/>
      </rPr>
      <t>회차</t>
    </r>
  </si>
  <si>
    <t>combo</t>
  </si>
  <si>
    <r>
      <rPr>
        <sz val="10"/>
        <color rgb="FF6B6459"/>
        <rFont val="Noto Sans CJK SC"/>
        <family val="2"/>
      </rPr>
      <t>복합 유산소</t>
    </r>
    <r>
      <rPr>
        <sz val="10"/>
        <color rgb="FF6B6459"/>
        <rFont val="Arial"/>
        <family val="2"/>
      </rPr>
      <t>·</t>
    </r>
    <r>
      <rPr>
        <sz val="10"/>
        <color rgb="FF6B6459"/>
        <rFont val="Noto Sans CJK SC"/>
        <family val="2"/>
      </rPr>
      <t>저항</t>
    </r>
  </si>
  <si>
    <r>
      <rPr>
        <sz val="10"/>
        <color rgb="FF1B2A44"/>
        <rFont val="Arial"/>
        <family val="2"/>
      </rPr>
      <t>5~6</t>
    </r>
    <r>
      <rPr>
        <sz val="10"/>
        <color rgb="FF1B2A44"/>
        <rFont val="Noto Sans CJK SC"/>
        <family val="2"/>
      </rPr>
      <t>회차</t>
    </r>
  </si>
  <si>
    <r>
      <rPr>
        <b/>
        <sz val="11"/>
        <color rgb="FFFFFFFF"/>
        <rFont val="Arial"/>
        <family val="2"/>
      </rPr>
      <t xml:space="preserve">SPPB </t>
    </r>
    <r>
      <rPr>
        <b/>
        <sz val="11"/>
        <color rgb="FFFFFFFF"/>
        <rFont val="Noto Sans CJK SC"/>
        <family val="2"/>
      </rPr>
      <t xml:space="preserve">하위 항목별 변화 </t>
    </r>
    <r>
      <rPr>
        <b/>
        <sz val="11"/>
        <color rgb="FFFFFFFF"/>
        <rFont val="Arial"/>
        <family val="2"/>
      </rPr>
      <t>(functional.sppb)</t>
    </r>
  </si>
  <si>
    <t>sppb.badge</t>
  </si>
  <si>
    <t>섹션 우측 상단 배지 문구</t>
  </si>
  <si>
    <t>총점 천장효과 구간 근접</t>
  </si>
  <si>
    <t>sppb.total</t>
  </si>
  <si>
    <r>
      <rPr>
        <sz val="9.5"/>
        <color rgb="FF6B6459"/>
        <rFont val="Noto Sans CJK SC"/>
        <family val="2"/>
      </rPr>
      <t xml:space="preserve">총점 </t>
    </r>
    <r>
      <rPr>
        <sz val="9.5"/>
        <color rgb="FF6B6459"/>
        <rFont val="Arial"/>
        <family val="2"/>
      </rPr>
      <t>(</t>
    </r>
    <r>
      <rPr>
        <sz val="9.5"/>
        <color rgb="FF6B6459"/>
        <rFont val="Noto Sans CJK SC"/>
        <family val="2"/>
      </rPr>
      <t xml:space="preserve">첫 검사 </t>
    </r>
    <r>
      <rPr>
        <sz val="9.5"/>
        <color rgb="FF6B6459"/>
        <rFont val="Arial"/>
        <family val="2"/>
      </rPr>
      <t xml:space="preserve">/ </t>
    </r>
    <r>
      <rPr>
        <sz val="9.5"/>
        <color rgb="FF6B6459"/>
        <rFont val="Noto Sans CJK SC"/>
        <family val="2"/>
      </rPr>
      <t xml:space="preserve">재검사 </t>
    </r>
    <r>
      <rPr>
        <sz val="9.5"/>
        <color rgb="FF6B6459"/>
        <rFont val="Arial"/>
        <family val="2"/>
      </rPr>
      <t xml:space="preserve">/ </t>
    </r>
    <r>
      <rPr>
        <sz val="9.5"/>
        <color rgb="FF6B6459"/>
        <rFont val="Noto Sans CJK SC"/>
        <family val="2"/>
      </rPr>
      <t>만점</t>
    </r>
    <r>
      <rPr>
        <sz val="9.5"/>
        <color rgb="FF6B6459"/>
        <rFont val="Arial"/>
        <family val="2"/>
      </rPr>
      <t xml:space="preserve">) — </t>
    </r>
    <r>
      <rPr>
        <sz val="9.5"/>
        <color rgb="FF6B6459"/>
        <rFont val="Noto Sans CJK SC"/>
        <family val="2"/>
      </rPr>
      <t>아래 표의 첫점수</t>
    </r>
    <r>
      <rPr>
        <sz val="9.5"/>
        <color rgb="FF6B6459"/>
        <rFont val="Arial"/>
        <family val="2"/>
      </rPr>
      <t>·</t>
    </r>
    <r>
      <rPr>
        <sz val="9.5"/>
        <color rgb="FF6B6459"/>
        <rFont val="Noto Sans CJK SC"/>
        <family val="2"/>
      </rPr>
      <t>재점수 합계로 자동 계산됩니다</t>
    </r>
    <r>
      <rPr>
        <sz val="9.5"/>
        <color rgb="FF6B6459"/>
        <rFont val="Arial"/>
        <family val="2"/>
      </rPr>
      <t>.</t>
    </r>
  </si>
  <si>
    <r>
      <rPr>
        <b/>
        <sz val="10"/>
        <color rgb="FF1B2A44"/>
        <rFont val="Noto Sans CJK SC"/>
        <family val="2"/>
      </rPr>
      <t>항목</t>
    </r>
    <r>
      <rPr>
        <b/>
        <sz val="10"/>
        <color rgb="FF1B2A44"/>
        <rFont val="Arial"/>
        <family val="2"/>
      </rPr>
      <t>(label)</t>
    </r>
  </si>
  <si>
    <r>
      <rPr>
        <b/>
        <sz val="10"/>
        <color rgb="FF1B2A44"/>
        <rFont val="Noto Sans CJK SC"/>
        <family val="2"/>
      </rPr>
      <t>설명</t>
    </r>
    <r>
      <rPr>
        <b/>
        <sz val="10"/>
        <color rgb="FF1B2A44"/>
        <rFont val="Arial"/>
        <family val="2"/>
      </rPr>
      <t>(caption)</t>
    </r>
  </si>
  <si>
    <r>
      <rPr>
        <b/>
        <sz val="10"/>
        <color rgb="FF1B2A44"/>
        <rFont val="Noto Sans CJK SC"/>
        <family val="2"/>
      </rPr>
      <t>단위</t>
    </r>
    <r>
      <rPr>
        <b/>
        <sz val="10"/>
        <color rgb="FF1B2A44"/>
        <rFont val="Arial"/>
        <family val="2"/>
      </rPr>
      <t>(unit)</t>
    </r>
  </si>
  <si>
    <r>
      <rPr>
        <b/>
        <sz val="10"/>
        <color rgb="FF1B2A44"/>
        <rFont val="Noto Sans CJK SC"/>
        <family val="2"/>
      </rPr>
      <t>첫검사</t>
    </r>
    <r>
      <rPr>
        <b/>
        <sz val="10"/>
        <color rgb="FF1B2A44"/>
        <rFont val="Arial"/>
        <family val="2"/>
      </rPr>
      <t>(first)</t>
    </r>
  </si>
  <si>
    <r>
      <rPr>
        <b/>
        <sz val="10"/>
        <color rgb="FF1B2A44"/>
        <rFont val="Noto Sans CJK SC"/>
        <family val="2"/>
      </rPr>
      <t>재검사</t>
    </r>
    <r>
      <rPr>
        <b/>
        <sz val="10"/>
        <color rgb="FF1B2A44"/>
        <rFont val="Arial"/>
        <family val="2"/>
      </rPr>
      <t>(last)</t>
    </r>
  </si>
  <si>
    <r>
      <rPr>
        <b/>
        <sz val="10"/>
        <color rgb="FF1B2A44"/>
        <rFont val="Noto Sans CJK SC"/>
        <family val="2"/>
      </rPr>
      <t>판정메모</t>
    </r>
    <r>
      <rPr>
        <b/>
        <sz val="10"/>
        <color rgb="FF1B2A44"/>
        <rFont val="Arial"/>
        <family val="2"/>
      </rPr>
      <t>(note)</t>
    </r>
  </si>
  <si>
    <r>
      <rPr>
        <b/>
        <sz val="10"/>
        <color rgb="FF1B2A44"/>
        <rFont val="Noto Sans CJK SC"/>
        <family val="2"/>
      </rPr>
      <t>첫점수</t>
    </r>
    <r>
      <rPr>
        <b/>
        <sz val="10"/>
        <color rgb="FF1B2A44"/>
        <rFont val="Arial"/>
        <family val="2"/>
      </rPr>
      <t>(0~4)</t>
    </r>
  </si>
  <si>
    <r>
      <rPr>
        <b/>
        <sz val="10"/>
        <color rgb="FF1B2A44"/>
        <rFont val="Noto Sans CJK SC"/>
        <family val="2"/>
      </rPr>
      <t>재점수</t>
    </r>
    <r>
      <rPr>
        <b/>
        <sz val="10"/>
        <color rgb="FF1B2A44"/>
        <rFont val="Arial"/>
        <family val="2"/>
      </rPr>
      <t>(0~4)</t>
    </r>
  </si>
  <si>
    <t>균형 검사</t>
  </si>
  <si>
    <t>면벽 자세 유지시간</t>
  </si>
  <si>
    <t>초</t>
  </si>
  <si>
    <t>높을수록 좋음</t>
  </si>
  <si>
    <t>보행 속도</t>
  </si>
  <si>
    <r>
      <rPr>
        <sz val="10"/>
        <color rgb="FF6B6459"/>
        <rFont val="Arial"/>
        <family val="2"/>
      </rPr>
      <t xml:space="preserve">4m </t>
    </r>
    <r>
      <rPr>
        <sz val="10"/>
        <color rgb="FF6B6459"/>
        <rFont val="Noto Sans CJK SC"/>
        <family val="2"/>
      </rPr>
      <t>보행 시간</t>
    </r>
  </si>
  <si>
    <t>낮을수록 좋음</t>
  </si>
  <si>
    <t>의자 일어서기</t>
  </si>
  <si>
    <r>
      <rPr>
        <sz val="10"/>
        <color rgb="FF6B6459"/>
        <rFont val="Arial"/>
        <family val="2"/>
      </rPr>
      <t>5</t>
    </r>
    <r>
      <rPr>
        <sz val="10"/>
        <color rgb="FF6B6459"/>
        <rFont val="Noto Sans CJK SC"/>
        <family val="2"/>
      </rPr>
      <t>회 반복 시간</t>
    </r>
  </si>
  <si>
    <t>sppb.interpHeadline</t>
  </si>
  <si>
    <t>해설 박스 제목</t>
  </si>
  <si>
    <r>
      <rPr>
        <sz val="10"/>
        <color rgb="FF1B2A44"/>
        <rFont val="Noto Sans CJK SC"/>
        <family val="2"/>
      </rPr>
      <t>균형과 보행 속도가 함께 좋아졌어요</t>
    </r>
    <r>
      <rPr>
        <sz val="10"/>
        <color rgb="FF1B2A44"/>
        <rFont val="Arial"/>
        <family val="2"/>
      </rPr>
      <t>.</t>
    </r>
  </si>
  <si>
    <t>sppb.interpDetail</t>
  </si>
  <si>
    <t>해설 박스 본문</t>
  </si>
  <si>
    <r>
      <rPr>
        <sz val="10"/>
        <color rgb="FF1B2A44"/>
        <rFont val="Noto Sans CJK SC"/>
        <family val="2"/>
      </rPr>
      <t xml:space="preserve">벽 짚지 않고 버티는 균형 시간과 </t>
    </r>
    <r>
      <rPr>
        <sz val="10"/>
        <color rgb="FF1B2A44"/>
        <rFont val="Arial"/>
        <family val="2"/>
      </rPr>
      <t>4m</t>
    </r>
    <r>
      <rPr>
        <sz val="10"/>
        <color rgb="FF1B2A44"/>
        <rFont val="Noto Sans CJK SC"/>
        <family val="2"/>
      </rPr>
      <t>를 걷는 속도 모두 뚜렷하게 개선되었어요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의자 일어서기는 처음부터 만점</t>
    </r>
    <r>
      <rPr>
        <sz val="10"/>
        <color rgb="FF1B2A44"/>
        <rFont val="Arial"/>
        <family val="2"/>
      </rPr>
      <t>(4</t>
    </r>
    <r>
      <rPr>
        <sz val="10"/>
        <color rgb="FF1B2A44"/>
        <rFont val="Noto Sans CJK SC"/>
        <family val="2"/>
      </rPr>
      <t>점</t>
    </r>
    <r>
      <rPr>
        <sz val="10"/>
        <color rgb="FF1B2A44"/>
        <rFont val="Arial"/>
        <family val="2"/>
      </rPr>
      <t>)·9.8</t>
    </r>
    <r>
      <rPr>
        <sz val="10"/>
        <color rgb="FF1B2A44"/>
        <rFont val="Noto Sans CJK SC"/>
        <family val="2"/>
      </rPr>
      <t>초로 이미 좋은 상태였고 그 수준을 그대로 유지했어요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이는 일상 속 균형 잡기와 이동이 더 안정적이고 수월해졌다는 것을 의미해요</t>
    </r>
    <r>
      <rPr>
        <sz val="10"/>
        <color rgb="FF1B2A44"/>
        <rFont val="Arial"/>
        <family val="2"/>
      </rPr>
      <t>.</t>
    </r>
  </si>
  <si>
    <r>
      <rPr>
        <b/>
        <sz val="11"/>
        <color rgb="FFFFFFFF"/>
        <rFont val="Noto Sans CJK SC"/>
        <family val="2"/>
      </rPr>
      <t xml:space="preserve">체중 </t>
    </r>
    <r>
      <rPr>
        <b/>
        <sz val="11"/>
        <color rgb="FFFFFFFF"/>
        <rFont val="Arial"/>
        <family val="2"/>
      </rPr>
      <t xml:space="preserve">· BMI </t>
    </r>
    <r>
      <rPr>
        <b/>
        <sz val="11"/>
        <color rgb="FFFFFFFF"/>
        <rFont val="Noto Sans CJK SC"/>
        <family val="2"/>
      </rPr>
      <t xml:space="preserve">변화 </t>
    </r>
    <r>
      <rPr>
        <b/>
        <sz val="11"/>
        <color rgb="FFFFFFFF"/>
        <rFont val="Arial"/>
        <family val="2"/>
      </rPr>
      <t>(functional.weight)</t>
    </r>
  </si>
  <si>
    <r>
      <rPr>
        <b/>
        <sz val="10"/>
        <color rgb="FF1B2A44"/>
        <rFont val="Noto Sans CJK SC"/>
        <family val="2"/>
      </rPr>
      <t>구분</t>
    </r>
    <r>
      <rPr>
        <b/>
        <sz val="10"/>
        <color rgb="FF1B2A44"/>
        <rFont val="Arial"/>
        <family val="2"/>
      </rPr>
      <t>(</t>
    </r>
    <r>
      <rPr>
        <b/>
        <sz val="10"/>
        <color rgb="FF1B2A44"/>
        <rFont val="Noto Sans CJK SC"/>
        <family val="2"/>
      </rPr>
      <t>항목</t>
    </r>
    <r>
      <rPr>
        <b/>
        <sz val="10"/>
        <color rgb="FF1B2A44"/>
        <rFont val="Arial"/>
        <family val="2"/>
      </rPr>
      <t>)</t>
    </r>
  </si>
  <si>
    <r>
      <rPr>
        <b/>
        <sz val="10"/>
        <color rgb="FF1B2A44"/>
        <rFont val="Noto Sans CJK SC"/>
        <family val="2"/>
      </rPr>
      <t>첫 측정</t>
    </r>
    <r>
      <rPr>
        <b/>
        <sz val="10"/>
        <color rgb="FF1B2A44"/>
        <rFont val="Arial"/>
        <family val="2"/>
      </rPr>
      <t>(first)</t>
    </r>
  </si>
  <si>
    <r>
      <rPr>
        <b/>
        <sz val="10"/>
        <color rgb="FF1B2A44"/>
        <rFont val="Noto Sans CJK SC"/>
        <family val="2"/>
      </rPr>
      <t>재측정</t>
    </r>
    <r>
      <rPr>
        <b/>
        <sz val="10"/>
        <color rgb="FF1B2A44"/>
        <rFont val="Arial"/>
        <family val="2"/>
      </rPr>
      <t>(last)</t>
    </r>
  </si>
  <si>
    <r>
      <rPr>
        <b/>
        <sz val="10"/>
        <color rgb="FF1B2A44"/>
        <rFont val="Noto Sans CJK SC"/>
        <family val="2"/>
      </rPr>
      <t>증감</t>
    </r>
    <r>
      <rPr>
        <b/>
        <sz val="10"/>
        <color rgb="FF1B2A44"/>
        <rFont val="Arial"/>
        <family val="2"/>
      </rPr>
      <t>(</t>
    </r>
    <r>
      <rPr>
        <b/>
        <sz val="10"/>
        <color rgb="FF1B2A44"/>
        <rFont val="Noto Sans CJK SC"/>
        <family val="2"/>
      </rPr>
      <t>자동계산</t>
    </r>
    <r>
      <rPr>
        <b/>
        <sz val="10"/>
        <color rgb="FF1B2A44"/>
        <rFont val="Arial"/>
        <family val="2"/>
      </rPr>
      <t>)</t>
    </r>
  </si>
  <si>
    <t>kg</t>
  </si>
  <si>
    <t>weight.note</t>
  </si>
  <si>
    <t>체중 변화 해설 문구</t>
  </si>
  <si>
    <r>
      <rPr>
        <sz val="10"/>
        <color rgb="FF1B2A44"/>
        <rFont val="Noto Sans CJK SC"/>
        <family val="2"/>
      </rPr>
      <t>확인 필요 — 부종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복수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탈수 여부 및 수액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이뇨제 변경 이력을 함께 확인해 주세요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이 변화만으로 영양상태나 근육량 개선을 단정하지 않습니다</t>
    </r>
    <r>
      <rPr>
        <sz val="10"/>
        <color rgb="FF1B2A44"/>
        <rFont val="Arial"/>
        <family val="2"/>
      </rPr>
      <t>.</t>
    </r>
  </si>
  <si>
    <r>
      <rPr>
        <b/>
        <sz val="10"/>
        <color rgb="FF333333"/>
        <rFont val="Arial"/>
        <family val="2"/>
      </rPr>
      <t>weight.bmi (</t>
    </r>
    <r>
      <rPr>
        <b/>
        <sz val="10"/>
        <color rgb="FF333333"/>
        <rFont val="Noto Sans CJK SC"/>
        <family val="2"/>
      </rPr>
      <t>첫</t>
    </r>
    <r>
      <rPr>
        <b/>
        <sz val="10"/>
        <color rgb="FF333333"/>
        <rFont val="Arial"/>
        <family val="2"/>
      </rPr>
      <t>/</t>
    </r>
    <r>
      <rPr>
        <b/>
        <sz val="10"/>
        <color rgb="FF333333"/>
        <rFont val="Noto Sans CJK SC"/>
        <family val="2"/>
      </rPr>
      <t>재</t>
    </r>
    <r>
      <rPr>
        <b/>
        <sz val="10"/>
        <color rgb="FF333333"/>
        <rFont val="Arial"/>
        <family val="2"/>
      </rPr>
      <t>)</t>
    </r>
  </si>
  <si>
    <r>
      <rPr>
        <sz val="9.5"/>
        <color rgb="FF6B6459"/>
        <rFont val="Arial"/>
        <family val="2"/>
      </rPr>
      <t xml:space="preserve">BMI </t>
    </r>
    <r>
      <rPr>
        <sz val="9.5"/>
        <color rgb="FF6B6459"/>
        <rFont val="Noto Sans CJK SC"/>
        <family val="2"/>
      </rPr>
      <t xml:space="preserve">첫 측정 </t>
    </r>
    <r>
      <rPr>
        <sz val="9.5"/>
        <color rgb="FF6B6459"/>
        <rFont val="Arial"/>
        <family val="2"/>
      </rPr>
      <t xml:space="preserve">/ </t>
    </r>
    <r>
      <rPr>
        <sz val="9.5"/>
        <color rgb="FF6B6459"/>
        <rFont val="Noto Sans CJK SC"/>
        <family val="2"/>
      </rPr>
      <t xml:space="preserve">재측정 </t>
    </r>
    <r>
      <rPr>
        <sz val="9.5"/>
        <color rgb="FF6B6459"/>
        <rFont val="Arial"/>
        <family val="2"/>
      </rPr>
      <t>(</t>
    </r>
    <r>
      <rPr>
        <sz val="9.5"/>
        <color rgb="FF6B6459"/>
        <rFont val="Noto Sans CJK SC"/>
        <family val="2"/>
      </rPr>
      <t>참고정보</t>
    </r>
    <r>
      <rPr>
        <sz val="9.5"/>
        <color rgb="FF6B6459"/>
        <rFont val="Arial"/>
        <family val="2"/>
      </rPr>
      <t xml:space="preserve">) — </t>
    </r>
    <r>
      <rPr>
        <sz val="9.5"/>
        <color rgb="FF6B6459"/>
        <rFont val="Noto Sans CJK SC"/>
        <family val="2"/>
      </rPr>
      <t>체중과 달리 신장 입력이 없어 자동계산하지 않습니다</t>
    </r>
    <r>
      <rPr>
        <sz val="9.5"/>
        <color rgb="FF6B6459"/>
        <rFont val="Arial"/>
        <family val="2"/>
      </rPr>
      <t xml:space="preserve">. </t>
    </r>
    <r>
      <rPr>
        <sz val="9.5"/>
        <color rgb="FF6B6459"/>
        <rFont val="Noto Sans CJK SC"/>
        <family val="2"/>
      </rPr>
      <t>실제 측정치를 입력하세요</t>
    </r>
    <r>
      <rPr>
        <sz val="9.5"/>
        <color rgb="FF6B6459"/>
        <rFont val="Arial"/>
        <family val="2"/>
      </rPr>
      <t>.</t>
    </r>
  </si>
  <si>
    <r>
      <rPr>
        <b/>
        <sz val="14"/>
        <color rgb="FFFFFFFF"/>
        <rFont val="Arial"/>
        <family val="2"/>
      </rPr>
      <t xml:space="preserve">06 · </t>
    </r>
    <r>
      <rPr>
        <b/>
        <sz val="14"/>
        <color rgb="FFFFFFFF"/>
        <rFont val="Noto Sans CJK SC"/>
        <family val="2"/>
      </rPr>
      <t xml:space="preserve">암종별 특화 지표 </t>
    </r>
    <r>
      <rPr>
        <b/>
        <sz val="14"/>
        <color rgb="FFFFFFFF"/>
        <rFont val="Arial"/>
        <family val="2"/>
      </rPr>
      <t>(Cancer-Specific Change)</t>
    </r>
  </si>
  <si>
    <r>
      <rPr>
        <i/>
        <sz val="9"/>
        <color rgb="FF6B6459"/>
        <rFont val="Noto Sans CJK SC"/>
        <family val="2"/>
      </rPr>
      <t xml:space="preserve">리포트 </t>
    </r>
    <r>
      <rPr>
        <i/>
        <sz val="9"/>
        <color rgb="FF6B6459"/>
        <rFont val="Arial"/>
        <family val="2"/>
      </rPr>
      <t>6</t>
    </r>
    <r>
      <rPr>
        <i/>
        <sz val="9"/>
        <color rgb="FF6B6459"/>
        <rFont val="Noto Sans CJK SC"/>
        <family val="2"/>
      </rPr>
      <t>페이지</t>
    </r>
    <r>
      <rPr>
        <i/>
        <sz val="9"/>
        <color rgb="FF6B6459"/>
        <rFont val="Arial"/>
        <family val="2"/>
      </rPr>
      <t xml:space="preserve">. </t>
    </r>
    <r>
      <rPr>
        <i/>
        <sz val="9"/>
        <color rgb="FF6B6459"/>
        <rFont val="Noto Sans CJK SC"/>
        <family val="2"/>
      </rPr>
      <t xml:space="preserve">암종에 따라 다른 지표를 넣는 페이지 </t>
    </r>
    <r>
      <rPr>
        <i/>
        <sz val="9"/>
        <color rgb="FF6B6459"/>
        <rFont val="Arial"/>
        <family val="2"/>
      </rPr>
      <t>(</t>
    </r>
    <r>
      <rPr>
        <i/>
        <sz val="9"/>
        <color rgb="FF6B6459"/>
        <rFont val="Noto Sans CJK SC"/>
        <family val="2"/>
      </rPr>
      <t>예시는 유방암</t>
    </r>
    <r>
      <rPr>
        <i/>
        <sz val="9"/>
        <color rgb="FF6B6459"/>
        <rFont val="Arial"/>
        <family val="2"/>
      </rPr>
      <t xml:space="preserve">: </t>
    </r>
    <r>
      <rPr>
        <i/>
        <sz val="9"/>
        <color rgb="FF6B6459"/>
        <rFont val="Noto Sans CJK SC"/>
        <family val="2"/>
      </rPr>
      <t xml:space="preserve">팔둘레 </t>
    </r>
    <r>
      <rPr>
        <i/>
        <sz val="9"/>
        <color rgb="FF6B6459"/>
        <rFont val="Arial"/>
        <family val="2"/>
      </rPr>
      <t xml:space="preserve">· </t>
    </r>
    <r>
      <rPr>
        <i/>
        <sz val="9"/>
        <color rgb="FF6B6459"/>
        <rFont val="Noto Sans CJK SC"/>
        <family val="2"/>
      </rPr>
      <t xml:space="preserve">어깨 </t>
    </r>
    <r>
      <rPr>
        <i/>
        <sz val="9"/>
        <color rgb="FF6B6459"/>
        <rFont val="Arial"/>
        <family val="2"/>
      </rPr>
      <t>ROM).</t>
    </r>
  </si>
  <si>
    <r>
      <rPr>
        <i/>
        <sz val="9"/>
        <color rgb="FF9A948B"/>
        <rFont val="Noto Sans CJK SC"/>
        <family val="2"/>
      </rPr>
      <t xml:space="preserve">※ 노란색 칸 </t>
    </r>
    <r>
      <rPr>
        <i/>
        <sz val="9"/>
        <color rgb="FF9A948B"/>
        <rFont val="Arial"/>
        <family val="2"/>
      </rPr>
      <t xml:space="preserve">= </t>
    </r>
    <r>
      <rPr>
        <i/>
        <sz val="9"/>
        <color rgb="FF9A948B"/>
        <rFont val="Noto Sans CJK SC"/>
        <family val="2"/>
      </rPr>
      <t xml:space="preserve">직접 입력하는 값 </t>
    </r>
    <r>
      <rPr>
        <i/>
        <sz val="9"/>
        <color rgb="FF9A948B"/>
        <rFont val="Arial"/>
        <family val="2"/>
      </rPr>
      <t xml:space="preserve">/ </t>
    </r>
    <r>
      <rPr>
        <i/>
        <sz val="9"/>
        <color rgb="FF9A948B"/>
        <rFont val="Noto Sans CJK SC"/>
        <family val="2"/>
      </rPr>
      <t>파란색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기울임</t>
    </r>
    <r>
      <rPr>
        <i/>
        <sz val="9"/>
        <color rgb="FF9A948B"/>
        <rFont val="Arial"/>
        <family val="2"/>
      </rPr>
      <t xml:space="preserve">) </t>
    </r>
    <r>
      <rPr>
        <i/>
        <sz val="9"/>
        <color rgb="FF9A948B"/>
        <rFont val="Noto Sans CJK SC"/>
        <family val="2"/>
      </rPr>
      <t xml:space="preserve">칸 </t>
    </r>
    <r>
      <rPr>
        <i/>
        <sz val="9"/>
        <color rgb="FF9A948B"/>
        <rFont val="Arial"/>
        <family val="2"/>
      </rPr>
      <t xml:space="preserve">= </t>
    </r>
    <r>
      <rPr>
        <i/>
        <sz val="9"/>
        <color rgb="FF9A948B"/>
        <rFont val="Noto Sans CJK SC"/>
        <family val="2"/>
      </rPr>
      <t>자동 계산되는 수식 칸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입력 불필요</t>
    </r>
    <r>
      <rPr>
        <i/>
        <sz val="9"/>
        <color rgb="FF9A948B"/>
        <rFont val="Arial"/>
        <family val="2"/>
      </rPr>
      <t xml:space="preserve">) / </t>
    </r>
    <r>
      <rPr>
        <i/>
        <sz val="9"/>
        <color rgb="FF9A948B"/>
        <rFont val="Noto Sans CJK SC"/>
        <family val="2"/>
      </rPr>
      <t xml:space="preserve">회색 칸 </t>
    </r>
    <r>
      <rPr>
        <i/>
        <sz val="9"/>
        <color rgb="FF9A948B"/>
        <rFont val="Arial"/>
        <family val="2"/>
      </rPr>
      <t xml:space="preserve">= </t>
    </r>
    <r>
      <rPr>
        <i/>
        <sz val="9"/>
        <color rgb="FF9A948B"/>
        <rFont val="Noto Sans CJK SC"/>
        <family val="2"/>
      </rPr>
      <t>리포트 구조상 고정된 항목명</t>
    </r>
    <r>
      <rPr>
        <i/>
        <sz val="9"/>
        <color rgb="FF9A948B"/>
        <rFont val="Arial"/>
        <family val="2"/>
      </rPr>
      <t>·</t>
    </r>
    <r>
      <rPr>
        <i/>
        <sz val="9"/>
        <color rgb="FF9A948B"/>
        <rFont val="Noto Sans CJK SC"/>
        <family val="2"/>
      </rPr>
      <t>단위라 값이 바뀌지 않는 칸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수정 불필요</t>
    </r>
    <r>
      <rPr>
        <i/>
        <sz val="9"/>
        <color rgb="FF9A948B"/>
        <rFont val="Arial"/>
        <family val="2"/>
      </rPr>
      <t xml:space="preserve">). </t>
    </r>
    <r>
      <rPr>
        <i/>
        <sz val="9"/>
        <color rgb="FF9A948B"/>
        <rFont val="Noto Sans CJK SC"/>
        <family val="2"/>
      </rPr>
      <t>이 데이터가 통째로 없으면</t>
    </r>
    <r>
      <rPr>
        <i/>
        <sz val="9"/>
        <color rgb="FF9A948B"/>
        <rFont val="Arial"/>
        <family val="2"/>
      </rPr>
      <t>(</t>
    </r>
    <r>
      <rPr>
        <i/>
        <sz val="9"/>
        <color rgb="FF9A948B"/>
        <rFont val="Noto Sans CJK SC"/>
        <family val="2"/>
      </rPr>
      <t>해당 암종의 검증된 지표가 없는 경우</t>
    </r>
    <r>
      <rPr>
        <i/>
        <sz val="9"/>
        <color rgb="FF9A948B"/>
        <rFont val="Arial"/>
        <family val="2"/>
      </rPr>
      <t xml:space="preserve">) </t>
    </r>
    <r>
      <rPr>
        <i/>
        <sz val="9"/>
        <color rgb="FF9A948B"/>
        <rFont val="Noto Sans CJK SC"/>
        <family val="2"/>
      </rPr>
      <t>이 페이지 자체가 자동으로 생략됩니다</t>
    </r>
    <r>
      <rPr>
        <i/>
        <sz val="9"/>
        <color rgb="FF9A948B"/>
        <rFont val="Arial"/>
        <family val="2"/>
      </rPr>
      <t>.</t>
    </r>
  </si>
  <si>
    <t>cancerSpecific.type</t>
  </si>
  <si>
    <t>암종</t>
  </si>
  <si>
    <r>
      <rPr>
        <b/>
        <sz val="11"/>
        <color rgb="FFFFFFFF"/>
        <rFont val="Noto Sans CJK SC"/>
        <family val="2"/>
      </rPr>
      <t xml:space="preserve">① 환측 팔둘레 추이 </t>
    </r>
    <r>
      <rPr>
        <b/>
        <sz val="11"/>
        <color rgb="FFFFFFFF"/>
        <rFont val="Arial"/>
        <family val="2"/>
      </rPr>
      <t>(armCircumference)</t>
    </r>
  </si>
  <si>
    <t>armCircumference.badge</t>
  </si>
  <si>
    <t>림프부종 관리 지표</t>
  </si>
  <si>
    <t>회차</t>
  </si>
  <si>
    <r>
      <rPr>
        <b/>
        <sz val="10"/>
        <color rgb="FF1B2A44"/>
        <rFont val="Noto Sans CJK SC"/>
        <family val="2"/>
      </rPr>
      <t>팔둘레</t>
    </r>
    <r>
      <rPr>
        <b/>
        <sz val="10"/>
        <color rgb="FF1B2A44"/>
        <rFont val="Arial"/>
        <family val="2"/>
      </rPr>
      <t>(cm)</t>
    </r>
  </si>
  <si>
    <r>
      <rPr>
        <sz val="10"/>
        <color rgb="FF6B6459"/>
        <rFont val="Arial"/>
        <family val="2"/>
      </rPr>
      <t>1</t>
    </r>
    <r>
      <rPr>
        <sz val="10"/>
        <color rgb="FF6B6459"/>
        <rFont val="Noto Sans CJK SC"/>
        <family val="2"/>
      </rPr>
      <t>차</t>
    </r>
  </si>
  <si>
    <r>
      <rPr>
        <sz val="10"/>
        <color rgb="FF6B6459"/>
        <rFont val="Arial"/>
        <family val="2"/>
      </rPr>
      <t>2</t>
    </r>
    <r>
      <rPr>
        <sz val="10"/>
        <color rgb="FF6B6459"/>
        <rFont val="Noto Sans CJK SC"/>
        <family val="2"/>
      </rPr>
      <t>차</t>
    </r>
  </si>
  <si>
    <r>
      <rPr>
        <sz val="10"/>
        <color rgb="FF6B6459"/>
        <rFont val="Arial"/>
        <family val="2"/>
      </rPr>
      <t>3</t>
    </r>
    <r>
      <rPr>
        <sz val="10"/>
        <color rgb="FF6B6459"/>
        <rFont val="Noto Sans CJK SC"/>
        <family val="2"/>
      </rPr>
      <t>차</t>
    </r>
  </si>
  <si>
    <r>
      <rPr>
        <sz val="10"/>
        <color rgb="FF6B6459"/>
        <rFont val="Arial"/>
        <family val="2"/>
      </rPr>
      <t>4</t>
    </r>
    <r>
      <rPr>
        <sz val="10"/>
        <color rgb="FF6B6459"/>
        <rFont val="Noto Sans CJK SC"/>
        <family val="2"/>
      </rPr>
      <t>차</t>
    </r>
  </si>
  <si>
    <r>
      <rPr>
        <sz val="10"/>
        <color rgb="FF6B6459"/>
        <rFont val="Arial"/>
        <family val="2"/>
      </rPr>
      <t>5</t>
    </r>
    <r>
      <rPr>
        <sz val="10"/>
        <color rgb="FF6B6459"/>
        <rFont val="Noto Sans CJK SC"/>
        <family val="2"/>
      </rPr>
      <t>차</t>
    </r>
  </si>
  <si>
    <r>
      <rPr>
        <sz val="10"/>
        <color rgb="FF6B6459"/>
        <rFont val="Arial"/>
        <family val="2"/>
      </rPr>
      <t>6</t>
    </r>
    <r>
      <rPr>
        <sz val="10"/>
        <color rgb="FF6B6459"/>
        <rFont val="Noto Sans CJK SC"/>
        <family val="2"/>
      </rPr>
      <t>차</t>
    </r>
  </si>
  <si>
    <t>armCircumference.deltaLabel</t>
  </si>
  <si>
    <r>
      <rPr>
        <sz val="9.5"/>
        <color rgb="FF6B6459"/>
        <rFont val="Noto Sans CJK SC"/>
        <family val="2"/>
      </rPr>
      <t xml:space="preserve">변화량 배지 — 위 표의 </t>
    </r>
    <r>
      <rPr>
        <sz val="9.5"/>
        <color rgb="FF6B6459"/>
        <rFont val="Arial"/>
        <family val="2"/>
      </rPr>
      <t>1</t>
    </r>
    <r>
      <rPr>
        <sz val="9.5"/>
        <color rgb="FF6B6459"/>
        <rFont val="Noto Sans CJK SC"/>
        <family val="2"/>
      </rPr>
      <t>차</t>
    </r>
    <r>
      <rPr>
        <sz val="9.5"/>
        <color rgb="FF6B6459"/>
        <rFont val="Arial"/>
        <family val="2"/>
      </rPr>
      <t>·</t>
    </r>
    <r>
      <rPr>
        <sz val="9.5"/>
        <color rgb="FF6B6459"/>
        <rFont val="Noto Sans CJK SC"/>
        <family val="2"/>
      </rPr>
      <t>마지막 회차 값으로 자동 계산됩니다</t>
    </r>
    <r>
      <rPr>
        <sz val="9.5"/>
        <color rgb="FF6B6459"/>
        <rFont val="Arial"/>
        <family val="2"/>
      </rPr>
      <t>.</t>
    </r>
  </si>
  <si>
    <t>armCircumference.interp</t>
  </si>
  <si>
    <t>해설 문구</t>
  </si>
  <si>
    <r>
      <rPr>
        <sz val="10"/>
        <color rgb="FF1B2A44"/>
        <rFont val="Noto Sans CJK SC"/>
        <family val="2"/>
      </rPr>
      <t>팔둘레가 꾸준히 줄며 부종이 완화되는 추세예요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림프부종 위험이 있는 경우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매 회차 팔둘레를 함께 측정해 변화를 지켜보고 있어요</t>
    </r>
    <r>
      <rPr>
        <sz val="10"/>
        <color rgb="FF1B2A44"/>
        <rFont val="Arial"/>
        <family val="2"/>
      </rPr>
      <t>. (32.4 → 30.4cm)</t>
    </r>
  </si>
  <si>
    <r>
      <rPr>
        <b/>
        <sz val="10"/>
        <color rgb="FF1B2A44"/>
        <rFont val="Noto Sans CJK SC"/>
        <family val="2"/>
      </rPr>
      <t>지표</t>
    </r>
    <r>
      <rPr>
        <b/>
        <sz val="10"/>
        <color rgb="FF1B2A44"/>
        <rFont val="Arial"/>
        <family val="2"/>
      </rPr>
      <t>(metric)</t>
    </r>
  </si>
  <si>
    <r>
      <rPr>
        <sz val="10"/>
        <color rgb="FF6B6459"/>
        <rFont val="Noto Sans CJK SC"/>
        <family val="2"/>
      </rPr>
      <t xml:space="preserve">표준화 </t>
    </r>
    <r>
      <rPr>
        <sz val="10"/>
        <color rgb="FF6B6459"/>
        <rFont val="Arial"/>
        <family val="2"/>
      </rPr>
      <t>5</t>
    </r>
    <r>
      <rPr>
        <sz val="10"/>
        <color rgb="FF6B6459"/>
        <rFont val="Noto Sans CJK SC"/>
        <family val="2"/>
      </rPr>
      <t xml:space="preserve">지점 부피 </t>
    </r>
    <r>
      <rPr>
        <sz val="10"/>
        <color rgb="FF6B6459"/>
        <rFont val="Arial"/>
        <family val="2"/>
      </rPr>
      <t>(volume)</t>
    </r>
  </si>
  <si>
    <t>mL</t>
  </si>
  <si>
    <r>
      <rPr>
        <sz val="10"/>
        <color rgb="FF6B6459"/>
        <rFont val="Noto Sans CJK SC"/>
        <family val="2"/>
      </rPr>
      <t xml:space="preserve">양팔 상대 부피 차이 </t>
    </r>
    <r>
      <rPr>
        <sz val="10"/>
        <color rgb="FF6B6459"/>
        <rFont val="Arial"/>
        <family val="2"/>
      </rPr>
      <t>(relativeDiff)</t>
    </r>
  </si>
  <si>
    <t>%</t>
  </si>
  <si>
    <t>armCircumference.footnote</t>
  </si>
  <si>
    <t>각주</t>
  </si>
  <si>
    <r>
      <rPr>
        <sz val="10"/>
        <color rgb="FF1B2A44"/>
        <rFont val="Noto Sans CJK SC"/>
        <family val="2"/>
      </rPr>
      <t xml:space="preserve">표준화된 </t>
    </r>
    <r>
      <rPr>
        <sz val="10"/>
        <color rgb="FF1B2A44"/>
        <rFont val="Arial"/>
        <family val="2"/>
      </rPr>
      <t>5</t>
    </r>
    <r>
      <rPr>
        <sz val="10"/>
        <color rgb="FF1B2A44"/>
        <rFont val="Noto Sans CJK SC"/>
        <family val="2"/>
      </rPr>
      <t>개 지점</t>
    </r>
    <r>
      <rPr>
        <sz val="10"/>
        <color rgb="FF1B2A44"/>
        <rFont val="Arial"/>
        <family val="2"/>
      </rPr>
      <t xml:space="preserve">(P1~P5) </t>
    </r>
    <r>
      <rPr>
        <sz val="10"/>
        <color rgb="FF1B2A44"/>
        <rFont val="Noto Sans CJK SC"/>
        <family val="2"/>
      </rPr>
      <t>둘레 측정값을 산술한 부피이며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매 회차 동일 지점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동일 자세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동일 방법으로 측정했습니다</t>
    </r>
    <r>
      <rPr>
        <sz val="10"/>
        <color rgb="FF1B2A44"/>
        <rFont val="Arial"/>
        <family val="2"/>
      </rPr>
      <t>.</t>
    </r>
  </si>
  <si>
    <r>
      <rPr>
        <b/>
        <sz val="11"/>
        <color rgb="FFFFFFFF"/>
        <rFont val="Noto Sans CJK SC"/>
        <family val="2"/>
      </rPr>
      <t>② 어깨 관절가동범위</t>
    </r>
    <r>
      <rPr>
        <b/>
        <sz val="11"/>
        <color rgb="FFFFFFFF"/>
        <rFont val="Arial"/>
        <family val="2"/>
      </rPr>
      <t xml:space="preserve">(ROM) </t>
    </r>
    <r>
      <rPr>
        <b/>
        <sz val="11"/>
        <color rgb="FFFFFFFF"/>
        <rFont val="Noto Sans CJK SC"/>
        <family val="2"/>
      </rPr>
      <t xml:space="preserve">변화 </t>
    </r>
    <r>
      <rPr>
        <b/>
        <sz val="11"/>
        <color rgb="FFFFFFFF"/>
        <rFont val="Arial"/>
        <family val="2"/>
      </rPr>
      <t>(shoulderROM)</t>
    </r>
  </si>
  <si>
    <r>
      <rPr>
        <b/>
        <sz val="10"/>
        <color rgb="FF1B2A44"/>
        <rFont val="Noto Sans CJK SC"/>
        <family val="2"/>
      </rPr>
      <t>동작명</t>
    </r>
    <r>
      <rPr>
        <b/>
        <sz val="10"/>
        <color rgb="FF1B2A44"/>
        <rFont val="Arial"/>
        <family val="2"/>
      </rPr>
      <t>(motion)</t>
    </r>
  </si>
  <si>
    <r>
      <rPr>
        <b/>
        <sz val="10"/>
        <color rgb="FF1B2A44"/>
        <rFont val="Noto Sans CJK SC"/>
        <family val="2"/>
      </rPr>
      <t>변화량</t>
    </r>
    <r>
      <rPr>
        <b/>
        <sz val="10"/>
        <color rgb="FF1B2A44"/>
        <rFont val="Arial"/>
        <family val="2"/>
      </rPr>
      <t>(</t>
    </r>
    <r>
      <rPr>
        <b/>
        <sz val="10"/>
        <color rgb="FF1B2A44"/>
        <rFont val="Noto Sans CJK SC"/>
        <family val="2"/>
      </rPr>
      <t>자동계산</t>
    </r>
    <r>
      <rPr>
        <b/>
        <sz val="10"/>
        <color rgb="FF1B2A44"/>
        <rFont val="Arial"/>
        <family val="2"/>
      </rPr>
      <t>)</t>
    </r>
  </si>
  <si>
    <r>
      <rPr>
        <sz val="10"/>
        <color rgb="FF6B6459"/>
        <rFont val="Noto Sans CJK SC"/>
        <family val="2"/>
      </rPr>
      <t>팔 앞으로 올리기</t>
    </r>
    <r>
      <rPr>
        <sz val="10"/>
        <color rgb="FF6B6459"/>
        <rFont val="Arial"/>
        <family val="2"/>
      </rPr>
      <t>(</t>
    </r>
    <r>
      <rPr>
        <sz val="10"/>
        <color rgb="FF6B6459"/>
        <rFont val="Noto Sans CJK SC"/>
        <family val="2"/>
      </rPr>
      <t>굴곡</t>
    </r>
    <r>
      <rPr>
        <sz val="10"/>
        <color rgb="FF6B6459"/>
        <rFont val="Arial"/>
        <family val="2"/>
      </rPr>
      <t>)</t>
    </r>
  </si>
  <si>
    <t>°</t>
  </si>
  <si>
    <r>
      <rPr>
        <sz val="10"/>
        <color rgb="FF1B2A44"/>
        <rFont val="Noto Sans CJK SC"/>
        <family val="2"/>
      </rPr>
      <t>팔을 앞으로 들어 올리는 동작의 범위가 늘어 옷 입기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물건 들기가 더 수월해졌어요</t>
    </r>
    <r>
      <rPr>
        <sz val="10"/>
        <color rgb="FF1B2A44"/>
        <rFont val="Arial"/>
        <family val="2"/>
      </rPr>
      <t>.</t>
    </r>
  </si>
  <si>
    <r>
      <rPr>
        <sz val="10"/>
        <color rgb="FF6B6459"/>
        <rFont val="Noto Sans CJK SC"/>
        <family val="2"/>
      </rPr>
      <t>팔 옆으로 올리기</t>
    </r>
    <r>
      <rPr>
        <sz val="10"/>
        <color rgb="FF6B6459"/>
        <rFont val="Arial"/>
        <family val="2"/>
      </rPr>
      <t>(</t>
    </r>
    <r>
      <rPr>
        <sz val="10"/>
        <color rgb="FF6B6459"/>
        <rFont val="Noto Sans CJK SC"/>
        <family val="2"/>
      </rPr>
      <t>외전</t>
    </r>
    <r>
      <rPr>
        <sz val="10"/>
        <color rgb="FF6B6459"/>
        <rFont val="Arial"/>
        <family val="2"/>
      </rPr>
      <t>)</t>
    </r>
  </si>
  <si>
    <r>
      <rPr>
        <sz val="10"/>
        <color rgb="FF1B2A44"/>
        <rFont val="Noto Sans CJK SC"/>
        <family val="2"/>
      </rPr>
      <t>옆으로 팔을 벌리는 범위가 늘어 세안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머리 손질 동작의 제약이 줄었어요</t>
    </r>
    <r>
      <rPr>
        <sz val="10"/>
        <color rgb="FF1B2A44"/>
        <rFont val="Arial"/>
        <family val="2"/>
      </rPr>
      <t>.</t>
    </r>
  </si>
  <si>
    <r>
      <rPr>
        <sz val="10"/>
        <color rgb="FF6B6459"/>
        <rFont val="Noto Sans CJK SC"/>
        <family val="2"/>
      </rPr>
      <t>바깥쪽으로 돌리기</t>
    </r>
    <r>
      <rPr>
        <sz val="10"/>
        <color rgb="FF6B6459"/>
        <rFont val="Arial"/>
        <family val="2"/>
      </rPr>
      <t>(</t>
    </r>
    <r>
      <rPr>
        <sz val="10"/>
        <color rgb="FF6B6459"/>
        <rFont val="Noto Sans CJK SC"/>
        <family val="2"/>
      </rPr>
      <t>외회전</t>
    </r>
    <r>
      <rPr>
        <sz val="10"/>
        <color rgb="FF6B6459"/>
        <rFont val="Arial"/>
        <family val="2"/>
      </rPr>
      <t>)</t>
    </r>
  </si>
  <si>
    <r>
      <rPr>
        <sz val="10"/>
        <color rgb="FF1B2A44"/>
        <rFont val="Noto Sans CJK SC"/>
        <family val="2"/>
      </rPr>
      <t>팔꿈치를 몸에 붙인 채 바깥으로 돌리는 범위가 늘어 뒷정리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옷 여미기 동작이 편해졌어요</t>
    </r>
    <r>
      <rPr>
        <sz val="10"/>
        <color rgb="FF1B2A44"/>
        <rFont val="Arial"/>
        <family val="2"/>
      </rPr>
      <t>.</t>
    </r>
  </si>
  <si>
    <t>shoulderROM.interpHeadline</t>
  </si>
  <si>
    <r>
      <rPr>
        <sz val="10"/>
        <color rgb="FF1B2A44"/>
        <rFont val="Noto Sans CJK SC"/>
        <family val="2"/>
      </rPr>
      <t>수술 측 어깨의 움직임 범위가 넓어졌어요</t>
    </r>
    <r>
      <rPr>
        <sz val="10"/>
        <color rgb="FF1B2A44"/>
        <rFont val="Arial"/>
        <family val="2"/>
      </rPr>
      <t>.</t>
    </r>
  </si>
  <si>
    <t>shoulderROM.interpDetail</t>
  </si>
  <si>
    <r>
      <rPr>
        <sz val="10"/>
        <color rgb="FF1B2A44"/>
        <rFont val="Noto Sans CJK SC"/>
        <family val="2"/>
      </rPr>
      <t>처음에는 팔을 머리 위까지 올리거나 옆으로 벌리는 데 제한이 있었지만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재검사에서는 세 방향 모두 가동범위가 늘었어요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이는 일상에서 물건을 꺼내거나 옷을 입는 등 수술한 쪽 팔을 사용하는 동작이 더 수월해졌다는 것을 의미해요</t>
    </r>
    <r>
      <rPr>
        <sz val="10"/>
        <color rgb="FF1B2A44"/>
        <rFont val="Arial"/>
        <family val="2"/>
      </rPr>
      <t>.</t>
    </r>
  </si>
  <si>
    <t>shoulderROM.footnote</t>
  </si>
  <si>
    <r>
      <rPr>
        <sz val="10"/>
        <color rgb="FF1B2A44"/>
        <rFont val="Noto Sans CJK SC"/>
        <family val="2"/>
      </rPr>
      <t>동일 평가자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동일 각도계 기준으로 측정했습니다</t>
    </r>
    <r>
      <rPr>
        <sz val="10"/>
        <color rgb="FF1B2A44"/>
        <rFont val="Arial"/>
        <family val="2"/>
      </rPr>
      <t>.</t>
    </r>
  </si>
  <si>
    <t>cancerSpecific.otherCancerNote</t>
  </si>
  <si>
    <t>이 암종에 해당 안내 문구</t>
  </si>
  <si>
    <r>
      <rPr>
        <sz val="10"/>
        <color rgb="FF1B2A44"/>
        <rFont val="Noto Sans CJK SC"/>
        <family val="2"/>
      </rPr>
      <t>암종별 신체 변화는 초기 측정값이 있는 검증된 지표에 한해서만 제공합니다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현재 김</t>
    </r>
    <r>
      <rPr>
        <sz val="10"/>
        <color rgb="FF1B2A44"/>
        <rFont val="Arial"/>
        <family val="2"/>
      </rPr>
      <t xml:space="preserve">OO </t>
    </r>
    <r>
      <rPr>
        <sz val="10"/>
        <color rgb="FF1B2A44"/>
        <rFont val="Noto Sans CJK SC"/>
        <family val="2"/>
      </rPr>
      <t>님은 유방암 관련 지표 외에 해당하는 예시 데이터가 없습니다</t>
    </r>
    <r>
      <rPr>
        <sz val="10"/>
        <color rgb="FF1B2A44"/>
        <rFont val="Arial"/>
        <family val="2"/>
      </rPr>
      <t>.</t>
    </r>
  </si>
  <si>
    <r>
      <rPr>
        <b/>
        <sz val="14"/>
        <color rgb="FFFFFFFF"/>
        <rFont val="Arial"/>
        <family val="2"/>
      </rPr>
      <t xml:space="preserve">07 · </t>
    </r>
    <r>
      <rPr>
        <b/>
        <sz val="14"/>
        <color rgb="FFFFFFFF"/>
        <rFont val="Noto Sans CJK SC"/>
        <family val="2"/>
      </rPr>
      <t xml:space="preserve">다음 </t>
    </r>
    <r>
      <rPr>
        <b/>
        <sz val="14"/>
        <color rgb="FFFFFFFF"/>
        <rFont val="Arial"/>
        <family val="2"/>
      </rPr>
      <t>3</t>
    </r>
    <r>
      <rPr>
        <b/>
        <sz val="14"/>
        <color rgb="FFFFFFFF"/>
        <rFont val="Noto Sans CJK SC"/>
        <family val="2"/>
      </rPr>
      <t xml:space="preserve">개월을 위한 제안 </t>
    </r>
    <r>
      <rPr>
        <b/>
        <sz val="14"/>
        <color rgb="FFFFFFFF"/>
        <rFont val="Arial"/>
        <family val="2"/>
      </rPr>
      <t>(Next Steps)</t>
    </r>
  </si>
  <si>
    <r>
      <rPr>
        <i/>
        <sz val="9"/>
        <color rgb="FF6B6459"/>
        <rFont val="Noto Sans CJK SC"/>
        <family val="2"/>
      </rPr>
      <t>리포트 마지막 페이지</t>
    </r>
    <r>
      <rPr>
        <i/>
        <sz val="9"/>
        <color rgb="FF6B6459"/>
        <rFont val="Arial"/>
        <family val="2"/>
      </rPr>
      <t xml:space="preserve">. </t>
    </r>
    <r>
      <rPr>
        <i/>
        <sz val="9"/>
        <color rgb="FF6B6459"/>
        <rFont val="Noto Sans CJK SC"/>
        <family val="2"/>
      </rPr>
      <t xml:space="preserve">유지할 것 </t>
    </r>
    <r>
      <rPr>
        <i/>
        <sz val="9"/>
        <color rgb="FF6B6459"/>
        <rFont val="Arial"/>
        <family val="2"/>
      </rPr>
      <t xml:space="preserve">/ </t>
    </r>
    <r>
      <rPr>
        <i/>
        <sz val="9"/>
        <color rgb="FF6B6459"/>
        <rFont val="Noto Sans CJK SC"/>
        <family val="2"/>
      </rPr>
      <t xml:space="preserve">관찰할 것 </t>
    </r>
    <r>
      <rPr>
        <i/>
        <sz val="9"/>
        <color rgb="FF6B6459"/>
        <rFont val="Arial"/>
        <family val="2"/>
      </rPr>
      <t xml:space="preserve">/ </t>
    </r>
    <r>
      <rPr>
        <i/>
        <sz val="9"/>
        <color rgb="FF6B6459"/>
        <rFont val="Noto Sans CJK SC"/>
        <family val="2"/>
      </rPr>
      <t xml:space="preserve">의료진에게 확인할 것 </t>
    </r>
    <r>
      <rPr>
        <i/>
        <sz val="9"/>
        <color rgb="FF6B6459"/>
        <rFont val="Arial"/>
        <family val="2"/>
      </rPr>
      <t>3</t>
    </r>
    <r>
      <rPr>
        <i/>
        <sz val="9"/>
        <color rgb="FF6B6459"/>
        <rFont val="Noto Sans CJK SC"/>
        <family val="2"/>
      </rPr>
      <t>개 컬럼입니다</t>
    </r>
    <r>
      <rPr>
        <i/>
        <sz val="9"/>
        <color rgb="FF6B6459"/>
        <rFont val="Arial"/>
        <family val="2"/>
      </rPr>
      <t>.</t>
    </r>
  </si>
  <si>
    <r>
      <rPr>
        <i/>
        <sz val="9"/>
        <color rgb="FF9A948B"/>
        <rFont val="Noto Sans CJK SC"/>
        <family val="2"/>
      </rPr>
      <t>※ 각 목록은 여러 항목이면 줄바꿈</t>
    </r>
    <r>
      <rPr>
        <i/>
        <sz val="9"/>
        <color rgb="FF9A948B"/>
        <rFont val="Arial"/>
        <family val="2"/>
      </rPr>
      <t>(Alt+Enter)</t>
    </r>
    <r>
      <rPr>
        <i/>
        <sz val="9"/>
        <color rgb="FF9A948B"/>
        <rFont val="Noto Sans CJK SC"/>
        <family val="2"/>
      </rPr>
      <t>으로 구분하세요</t>
    </r>
    <r>
      <rPr>
        <i/>
        <sz val="9"/>
        <color rgb="FF9A948B"/>
        <rFont val="Arial"/>
        <family val="2"/>
      </rPr>
      <t>. (</t>
    </r>
    <r>
      <rPr>
        <i/>
        <sz val="9"/>
        <color rgb="FF9A948B"/>
        <rFont val="Noto Sans CJK SC"/>
        <family val="2"/>
      </rPr>
      <t>모두 서술형 문구라 자동계산 대상 칸은 없습니다</t>
    </r>
    <r>
      <rPr>
        <i/>
        <sz val="9"/>
        <color rgb="FF9A948B"/>
        <rFont val="Arial"/>
        <family val="2"/>
      </rPr>
      <t>.)</t>
    </r>
  </si>
  <si>
    <t>nextSteps.dateLabel</t>
  </si>
  <si>
    <t>페이지 상단 기준일 문구</t>
  </si>
  <si>
    <r>
      <rPr>
        <sz val="10"/>
        <color rgb="FF1B2A44"/>
        <rFont val="Arial"/>
        <family val="2"/>
      </rPr>
      <t xml:space="preserve">2026.09.14 </t>
    </r>
    <r>
      <rPr>
        <sz val="10"/>
        <color rgb="FF1B2A44"/>
        <rFont val="Noto Sans CJK SC"/>
        <family val="2"/>
      </rPr>
      <t>기준</t>
    </r>
  </si>
  <si>
    <t>nextSteps.keep</t>
  </si>
  <si>
    <t>유지할 것</t>
  </si>
  <si>
    <r>
      <rPr>
        <sz val="10"/>
        <color rgb="FF1B2A44"/>
        <rFont val="Noto Sans CJK SC"/>
        <family val="2"/>
      </rPr>
      <t xml:space="preserve">주 </t>
    </r>
    <r>
      <rPr>
        <sz val="10"/>
        <color rgb="FF1B2A44"/>
        <rFont val="Arial"/>
        <family val="2"/>
      </rPr>
      <t>3</t>
    </r>
    <r>
      <rPr>
        <sz val="10"/>
        <color rgb="FF1B2A44"/>
        <rFont val="Noto Sans CJK SC"/>
        <family val="2"/>
      </rPr>
      <t>회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 xml:space="preserve">회차당 </t>
    </r>
    <r>
      <rPr>
        <sz val="10"/>
        <color rgb="FF1B2A44"/>
        <rFont val="Arial"/>
        <family val="2"/>
      </rPr>
      <t>30</t>
    </r>
    <r>
      <rPr>
        <sz val="10"/>
        <color rgb="FF1B2A44"/>
        <rFont val="Noto Sans CJK SC"/>
        <family val="2"/>
      </rPr>
      <t>분 내외의 저항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균형 운동 루틴
운동 전후 통증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 xml:space="preserve">부종 자가 체크 습관
지금까지 다져온 운동 강도를 무리한 상향 없이 유지
어깨 스트레칭을 통한 </t>
    </r>
    <r>
      <rPr>
        <sz val="10"/>
        <color rgb="FF1B2A44"/>
        <rFont val="Arial"/>
        <family val="2"/>
      </rPr>
      <t xml:space="preserve">ROM </t>
    </r>
    <r>
      <rPr>
        <sz val="10"/>
        <color rgb="FF1B2A44"/>
        <rFont val="Noto Sans CJK SC"/>
        <family val="2"/>
      </rPr>
      <t>유지 동작 지속</t>
    </r>
  </si>
  <si>
    <t>nextSteps.watch</t>
  </si>
  <si>
    <t>관찰할 것</t>
  </si>
  <si>
    <r>
      <rPr>
        <sz val="10"/>
        <color rgb="FF1B2A44"/>
        <rFont val="Noto Sans CJK SC"/>
        <family val="2"/>
      </rPr>
      <t xml:space="preserve">체중 변화 추이 </t>
    </r>
    <r>
      <rPr>
        <sz val="10"/>
        <color rgb="FF1B2A44"/>
        <rFont val="Arial"/>
        <family val="2"/>
      </rPr>
      <t>(</t>
    </r>
    <r>
      <rPr>
        <sz val="10"/>
        <color rgb="FF1B2A44"/>
        <rFont val="Noto Sans CJK SC"/>
        <family val="2"/>
      </rPr>
      <t>부종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수분 변화와 구분하여 관찰</t>
    </r>
    <r>
      <rPr>
        <sz val="10"/>
        <color rgb="FF1B2A44"/>
        <rFont val="Arial"/>
        <family val="2"/>
      </rPr>
      <t xml:space="preserve">)
</t>
    </r>
    <r>
      <rPr>
        <sz val="10"/>
        <color rgb="FF1B2A44"/>
        <rFont val="Noto Sans CJK SC"/>
        <family val="2"/>
      </rPr>
      <t>환측 팔 부피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 xml:space="preserve">둘레의 주기적 재측정 </t>
    </r>
    <r>
      <rPr>
        <sz val="10"/>
        <color rgb="FF1B2A44"/>
        <rFont val="Arial"/>
        <family val="2"/>
      </rPr>
      <t>(</t>
    </r>
    <r>
      <rPr>
        <sz val="10"/>
        <color rgb="FF1B2A44"/>
        <rFont val="Noto Sans CJK SC"/>
        <family val="2"/>
      </rPr>
      <t>동일 방법 유지</t>
    </r>
    <r>
      <rPr>
        <sz val="10"/>
        <color rgb="FF1B2A44"/>
        <rFont val="Arial"/>
        <family val="2"/>
      </rPr>
      <t xml:space="preserve">)
</t>
    </r>
    <r>
      <rPr>
        <sz val="10"/>
        <color rgb="FF1B2A44"/>
        <rFont val="Noto Sans CJK SC"/>
        <family val="2"/>
      </rPr>
      <t>피로도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 xml:space="preserve">수면의 질 변화
다음 </t>
    </r>
    <r>
      <rPr>
        <sz val="10"/>
        <color rgb="FF1B2A44"/>
        <rFont val="Arial"/>
        <family val="2"/>
      </rPr>
      <t xml:space="preserve">SPPB </t>
    </r>
    <r>
      <rPr>
        <sz val="10"/>
        <color rgb="FF1B2A44"/>
        <rFont val="Noto Sans CJK SC"/>
        <family val="2"/>
      </rPr>
      <t>평가 시 세부 수행시간 변화 추이</t>
    </r>
  </si>
  <si>
    <t>nextSteps.askDoctor</t>
  </si>
  <si>
    <t>의료진에게 확인할 것</t>
  </si>
  <si>
    <r>
      <rPr>
        <sz val="10"/>
        <color rgb="FF1B2A44"/>
        <rFont val="Noto Sans CJK SC"/>
        <family val="2"/>
      </rPr>
      <t>환측 팔의 급격한 부피 증가 또는 통증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발적 발생 시
단기간 체중 급변</t>
    </r>
    <r>
      <rPr>
        <sz val="10"/>
        <color rgb="FF1B2A44"/>
        <rFont val="Arial"/>
        <family val="2"/>
      </rPr>
      <t>(</t>
    </r>
    <r>
      <rPr>
        <sz val="10"/>
        <color rgb="FF1B2A44"/>
        <rFont val="Noto Sans CJK SC"/>
        <family val="2"/>
      </rPr>
      <t>수액</t>
    </r>
    <r>
      <rPr>
        <sz val="10"/>
        <color rgb="FF1B2A44"/>
        <rFont val="Arial"/>
        <family val="2"/>
      </rPr>
      <t>·</t>
    </r>
    <r>
      <rPr>
        <sz val="10"/>
        <color rgb="FF1B2A44"/>
        <rFont val="Noto Sans CJK SC"/>
        <family val="2"/>
      </rPr>
      <t>이뇨제 등 처방 변경 등</t>
    </r>
    <r>
      <rPr>
        <sz val="10"/>
        <color rgb="FF1B2A44"/>
        <rFont val="Arial"/>
        <family val="2"/>
      </rPr>
      <t xml:space="preserve">) </t>
    </r>
    <r>
      <rPr>
        <sz val="10"/>
        <color rgb="FF1B2A44"/>
        <rFont val="Noto Sans CJK SC"/>
        <family val="2"/>
      </rPr>
      <t>시
어깨가동범위 제한이 다시 심해지는 경우
운동 중 어지러움</t>
    </r>
    <r>
      <rPr>
        <sz val="10"/>
        <color rgb="FF1B2A44"/>
        <rFont val="Arial"/>
        <family val="2"/>
      </rPr>
      <t xml:space="preserve">, </t>
    </r>
    <r>
      <rPr>
        <sz val="10"/>
        <color rgb="FF1B2A44"/>
        <rFont val="Noto Sans CJK SC"/>
        <family val="2"/>
      </rPr>
      <t>호흡곤란 등 새로운 증상 발생 시</t>
    </r>
  </si>
  <si>
    <t>nextSteps.nurseNote.author</t>
  </si>
  <si>
    <r>
      <rPr>
        <sz val="9.5"/>
        <color rgb="FF6B6459"/>
        <rFont val="Noto Sans CJK SC"/>
        <family val="2"/>
      </rPr>
      <t>담당 간호사 한마디 — 작성자</t>
    </r>
    <r>
      <rPr>
        <sz val="9.5"/>
        <color rgb="FF6B6459"/>
        <rFont val="Arial"/>
        <family val="2"/>
      </rPr>
      <t>(</t>
    </r>
    <r>
      <rPr>
        <sz val="9.5"/>
        <color rgb="FF6B6459"/>
        <rFont val="Noto Sans CJK SC"/>
        <family val="2"/>
      </rPr>
      <t>이름</t>
    </r>
    <r>
      <rPr>
        <sz val="9.5"/>
        <color rgb="FF6B6459"/>
        <rFont val="Arial"/>
        <family val="2"/>
      </rPr>
      <t>/</t>
    </r>
    <r>
      <rPr>
        <sz val="9.5"/>
        <color rgb="FF6B6459"/>
        <rFont val="Noto Sans CJK SC"/>
        <family val="2"/>
      </rPr>
      <t>직함</t>
    </r>
    <r>
      <rPr>
        <sz val="9.5"/>
        <color rgb="FF6B6459"/>
        <rFont val="Arial"/>
        <family val="2"/>
      </rPr>
      <t>)</t>
    </r>
  </si>
  <si>
    <t>서지은 간호사</t>
  </si>
  <si>
    <t>nextSteps.nurseNote.text</t>
  </si>
  <si>
    <t>담당 간호사 한마디 — 내용</t>
  </si>
  <si>
    <r>
      <rPr>
        <sz val="10"/>
        <color rgb="FF1B2A44"/>
        <rFont val="Noto Sans CJK SC"/>
        <family val="2"/>
      </rPr>
      <t>처음 뵀을 때보다 훨씬 안정적으로 움직이시는 모습에 저도 힘이 났습니다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지금처럼 무리하지 않는 선에서 꾸준히 이어가시면 충분해요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 xml:space="preserve">다음 </t>
    </r>
    <r>
      <rPr>
        <sz val="10"/>
        <color rgb="FF1B2A44"/>
        <rFont val="Arial"/>
        <family val="2"/>
      </rPr>
      <t>3</t>
    </r>
    <r>
      <rPr>
        <sz val="10"/>
        <color rgb="FF1B2A44"/>
        <rFont val="Noto Sans CJK SC"/>
        <family val="2"/>
      </rPr>
      <t>개월도 함께하겠습니다</t>
    </r>
    <r>
      <rPr>
        <sz val="10"/>
        <color rgb="FF1B2A44"/>
        <rFont val="Arial"/>
        <family val="2"/>
      </rPr>
      <t>.</t>
    </r>
  </si>
  <si>
    <t>nextSteps.closingNote</t>
  </si>
  <si>
    <t>페이지 하단 마무리 문구</t>
  </si>
  <si>
    <r>
      <rPr>
        <sz val="10"/>
        <color rgb="FF1B2A44"/>
        <rFont val="Noto Sans CJK SC"/>
        <family val="2"/>
      </rPr>
      <t xml:space="preserve">이번 </t>
    </r>
    <r>
      <rPr>
        <sz val="10"/>
        <color rgb="FF1B2A44"/>
        <rFont val="Arial"/>
        <family val="2"/>
      </rPr>
      <t>3</t>
    </r>
    <r>
      <rPr>
        <sz val="10"/>
        <color rgb="FF1B2A44"/>
        <rFont val="Noto Sans CJK SC"/>
        <family val="2"/>
      </rPr>
      <t>개월의 기록은 다음 관리 계획을 위한 근거 자료로 함께 활용됩니다</t>
    </r>
    <r>
      <rPr>
        <sz val="10"/>
        <color rgb="FF1B2A44"/>
        <rFont val="Arial"/>
        <family val="2"/>
      </rPr>
      <t xml:space="preserve">. </t>
    </r>
    <r>
      <rPr>
        <sz val="10"/>
        <color rgb="FF1B2A44"/>
        <rFont val="Noto Sans CJK SC"/>
        <family val="2"/>
      </rPr>
      <t>궁금하신 점은 언제든 담당 케어니 또는 의료진에게 문의해 주세요</t>
    </r>
    <r>
      <rPr>
        <sz val="10"/>
        <color rgb="FF1B2A44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</si>
</sst>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4"/>
      <color rgb="FFFFFFFF"/>
      <name val="Noto Sans CJK SC"/>
      <family val="2"/>
    </font>
    <font>
      <i/>
      <sz val="9"/>
      <color rgb="FF6B6459"/>
      <name val="Noto Sans CJK SC"/>
      <family val="2"/>
    </font>
    <font>
      <i/>
      <sz val="9"/>
      <color rgb="FF6B6459"/>
      <name val="Arial"/>
      <family val="2"/>
    </font>
    <font>
      <i/>
      <sz val="9"/>
      <color rgb="FF9A948B"/>
      <name val="Noto Sans CJK SC"/>
      <family val="2"/>
    </font>
    <font>
      <i/>
      <sz val="9"/>
      <color rgb="FF9A948B"/>
      <name val="Arial"/>
      <family val="2"/>
    </font>
    <font>
      <b/>
      <sz val="10"/>
      <color rgb="FF1B2A44"/>
      <name val="Noto Sans CJK SC"/>
      <family val="2"/>
    </font>
    <font>
      <b/>
      <sz val="10"/>
      <color rgb="FF1B2A44"/>
      <name val="Arial"/>
      <family val="2"/>
    </font>
    <font>
      <b/>
      <sz val="10"/>
      <color rgb="FF333333"/>
      <name val="Arial"/>
      <family val="2"/>
    </font>
    <font>
      <sz val="9.5"/>
      <color rgb="FF6B6459"/>
      <name val="Noto Sans CJK SC"/>
      <family val="2"/>
    </font>
    <font>
      <sz val="10"/>
      <color rgb="FF1B2A44"/>
      <name val="Noto Sans CJK SC"/>
      <family val="2"/>
    </font>
    <font>
      <sz val="10"/>
      <color rgb="FF1B2A44"/>
      <name val="Arial"/>
      <family val="2"/>
    </font>
    <font>
      <sz val="9.5"/>
      <color rgb="FF6B6459"/>
      <name val="Arial"/>
      <family val="2"/>
    </font>
    <font>
      <b/>
      <sz val="10"/>
      <color rgb="FF333333"/>
      <name val="Noto Sans CJK SC"/>
      <family val="2"/>
    </font>
    <font>
      <i/>
      <sz val="10"/>
      <color rgb="FF1B4C7D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0"/>
      <color rgb="FF6B6459"/>
      <name val="Noto Sans CJK SC"/>
      <family val="2"/>
    </font>
    <font>
      <sz val="10"/>
      <color rgb="FF6B6459"/>
      <name val="Arial"/>
      <family val="2"/>
    </font>
    <font>
      <b/>
      <sz val="14"/>
      <color rgb="FFFFFFFF"/>
      <name val="Arial"/>
      <family val="2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B2A44"/>
        <bgColor rgb="FF333333"/>
      </patternFill>
    </fill>
    <fill>
      <patternFill patternType="solid">
        <fgColor rgb="FFF2F2F2"/>
        <bgColor rgb="FFECECEC"/>
      </patternFill>
    </fill>
    <fill>
      <patternFill patternType="solid">
        <fgColor rgb="FFFFF7CC"/>
        <bgColor rgb="FFF2F2F2"/>
      </patternFill>
    </fill>
    <fill>
      <patternFill patternType="solid">
        <fgColor rgb="FFDCEEFB"/>
        <bgColor rgb="FFECECEC"/>
      </patternFill>
    </fill>
    <fill>
      <patternFill patternType="solid">
        <fgColor rgb="FF7D6FA8"/>
        <bgColor rgb="FF6B6459"/>
      </patternFill>
    </fill>
    <fill>
      <patternFill patternType="solid">
        <fgColor rgb="FFECECEC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7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left" vertical="top" wrapText="1"/>
    </xf>
    <xf numFmtId="0" fontId="19" fillId="7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top" wrapText="1" indent="1"/>
    </xf>
    <xf numFmtId="0" fontId="11" fillId="4" borderId="1" xfId="0" applyFont="1" applyFill="1" applyBorder="1" applyAlignment="1">
      <alignment horizontal="left" vertical="top" wrapText="1"/>
    </xf>
    <xf numFmtId="0" fontId="16" fillId="6" borderId="0" xfId="0" applyFont="1" applyFill="1" applyAlignment="1">
      <alignment horizontal="left" vertical="center" indent="1"/>
    </xf>
    <xf numFmtId="0" fontId="12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7" fillId="6" borderId="0" xfId="0" applyFont="1" applyFill="1" applyAlignment="1">
      <alignment horizontal="left" vertical="center" indent="1"/>
    </xf>
    <xf numFmtId="0" fontId="15" fillId="5" borderId="1" xfId="0" applyFont="1" applyFill="1" applyBorder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6459"/>
      <rgbColor rgb="FF9999FF"/>
      <rgbColor rgb="FF993366"/>
      <rgbColor rgb="FFFFF7CC"/>
      <rgbColor rgb="FFDC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CECE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D6FA8"/>
      <rgbColor rgb="FF9A948B"/>
      <rgbColor rgb="FF1B2A44"/>
      <rgbColor rgb="FF339966"/>
      <rgbColor rgb="FF003300"/>
      <rgbColor rgb="FF333300"/>
      <rgbColor rgb="FF993300"/>
      <rgbColor rgb="FF993366"/>
      <rgbColor rgb="FF1B4C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5703125" defaultRowHeight="14.45"/>
  <cols>
    <col min="1" max="1" width="18" customWidth="1"/>
    <col min="2" max="2" width="34" customWidth="1"/>
    <col min="3" max="3" width="60" customWidth="1"/>
  </cols>
  <sheetData>
    <row r="1" spans="1:3" ht="25.5" customHeight="1">
      <c r="A1" s="12" t="s">
        <v>0</v>
      </c>
      <c r="B1" s="12"/>
      <c r="C1" s="12"/>
    </row>
    <row r="2" spans="1:3" ht="15.75" customHeight="1">
      <c r="A2" s="13" t="s">
        <v>1</v>
      </c>
      <c r="B2" s="13"/>
      <c r="C2" s="13"/>
    </row>
    <row r="4" spans="1:3" ht="15" customHeight="1">
      <c r="A4" s="14" t="s">
        <v>2</v>
      </c>
      <c r="B4" s="14"/>
      <c r="C4" s="14"/>
    </row>
    <row r="6" spans="1:3" ht="18" customHeight="1">
      <c r="A6" s="2" t="s">
        <v>3</v>
      </c>
      <c r="B6" s="2" t="s">
        <v>4</v>
      </c>
      <c r="C6" s="2" t="s">
        <v>5</v>
      </c>
    </row>
    <row r="7" spans="1:3" ht="31.5" customHeight="1">
      <c r="A7" s="3" t="s">
        <v>6</v>
      </c>
      <c r="B7" s="4" t="s">
        <v>7</v>
      </c>
      <c r="C7" s="5" t="s">
        <v>8</v>
      </c>
    </row>
    <row r="8" spans="1:3" ht="31.5" customHeight="1">
      <c r="A8" s="3" t="s">
        <v>9</v>
      </c>
      <c r="B8" s="4" t="s">
        <v>10</v>
      </c>
      <c r="C8" s="5" t="s">
        <v>11</v>
      </c>
    </row>
    <row r="9" spans="1:3" ht="31.5" customHeight="1">
      <c r="A9" s="3" t="s">
        <v>12</v>
      </c>
      <c r="B9" s="4" t="s">
        <v>13</v>
      </c>
      <c r="C9" s="6" t="s">
        <v>14</v>
      </c>
    </row>
    <row r="10" spans="1:3" ht="31.5" customHeight="1">
      <c r="A10" s="7" t="s">
        <v>15</v>
      </c>
      <c r="B10" s="4" t="s">
        <v>16</v>
      </c>
      <c r="C10" s="8" t="str">
        <f>COUNTA('02_요약'!A8:A13)&amp;"회"</f>
        <v>6회</v>
      </c>
    </row>
    <row r="11" spans="1:3" ht="31.5" customHeight="1">
      <c r="A11" s="7" t="s">
        <v>17</v>
      </c>
      <c r="B11" s="4" t="s">
        <v>18</v>
      </c>
      <c r="C11" s="6" t="s">
        <v>19</v>
      </c>
    </row>
  </sheetData>
  <mergeCells count="3">
    <mergeCell ref="A1:C1"/>
    <mergeCell ref="A2:C2"/>
    <mergeCell ref="A4:C4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showGridLines="0" zoomScaleNormal="100" workbookViewId="0">
      <pane ySplit="3" topLeftCell="A4" activePane="bottomLeft" state="frozen"/>
      <selection pane="bottomLeft" sqref="A1:D1"/>
    </sheetView>
  </sheetViews>
  <sheetFormatPr defaultColWidth="8.5703125" defaultRowHeight="14.45"/>
  <cols>
    <col min="1" max="1" width="16" customWidth="1"/>
    <col min="2" max="2" width="14" customWidth="1"/>
    <col min="3" max="3" width="16" customWidth="1"/>
    <col min="4" max="4" width="46" customWidth="1"/>
  </cols>
  <sheetData>
    <row r="1" spans="1:4" ht="25.5" customHeight="1">
      <c r="A1" s="12" t="s">
        <v>20</v>
      </c>
      <c r="B1" s="12"/>
      <c r="C1" s="12"/>
      <c r="D1" s="12"/>
    </row>
    <row r="2" spans="1:4" ht="15.75" customHeight="1">
      <c r="A2" s="13" t="s">
        <v>21</v>
      </c>
      <c r="B2" s="13"/>
      <c r="C2" s="13"/>
      <c r="D2" s="13"/>
    </row>
    <row r="4" spans="1:4" ht="15" customHeight="1">
      <c r="A4" s="14" t="s">
        <v>2</v>
      </c>
      <c r="B4" s="14"/>
      <c r="C4" s="14"/>
      <c r="D4" s="14"/>
    </row>
    <row r="6" spans="1:4" ht="19.5" customHeight="1">
      <c r="A6" s="16" t="s">
        <v>22</v>
      </c>
      <c r="B6" s="16"/>
      <c r="C6" s="16"/>
      <c r="D6" s="16"/>
    </row>
    <row r="7" spans="1:4" ht="18" customHeight="1">
      <c r="A7" s="2" t="s">
        <v>23</v>
      </c>
      <c r="B7" s="2" t="s">
        <v>24</v>
      </c>
      <c r="C7" s="2" t="s">
        <v>25</v>
      </c>
      <c r="D7" s="1"/>
    </row>
    <row r="8" spans="1:4" ht="18" customHeight="1">
      <c r="A8" s="6" t="s">
        <v>26</v>
      </c>
      <c r="B8" s="6" t="s">
        <v>27</v>
      </c>
      <c r="C8" s="6" t="s">
        <v>28</v>
      </c>
      <c r="D8" s="1"/>
    </row>
    <row r="9" spans="1:4" ht="18" customHeight="1">
      <c r="A9" s="6" t="s">
        <v>29</v>
      </c>
      <c r="B9" s="6" t="s">
        <v>30</v>
      </c>
      <c r="C9" s="6" t="s">
        <v>28</v>
      </c>
      <c r="D9" s="1"/>
    </row>
    <row r="10" spans="1:4" ht="18" customHeight="1">
      <c r="A10" s="6" t="s">
        <v>31</v>
      </c>
      <c r="B10" s="6" t="s">
        <v>32</v>
      </c>
      <c r="C10" s="6" t="s">
        <v>28</v>
      </c>
      <c r="D10" s="1"/>
    </row>
    <row r="11" spans="1:4" ht="18" customHeight="1">
      <c r="A11" s="6" t="s">
        <v>33</v>
      </c>
      <c r="B11" s="6" t="s">
        <v>34</v>
      </c>
      <c r="C11" s="6" t="s">
        <v>28</v>
      </c>
      <c r="D11" s="1"/>
    </row>
    <row r="12" spans="1:4" ht="18" customHeight="1">
      <c r="A12" s="6" t="s">
        <v>35</v>
      </c>
      <c r="B12" s="6" t="s">
        <v>36</v>
      </c>
      <c r="C12" s="6" t="s">
        <v>28</v>
      </c>
      <c r="D12" s="1"/>
    </row>
    <row r="13" spans="1:4" ht="18" customHeight="1">
      <c r="A13" s="6" t="s">
        <v>37</v>
      </c>
      <c r="B13" s="6" t="s">
        <v>38</v>
      </c>
      <c r="C13" s="6" t="s">
        <v>39</v>
      </c>
      <c r="D13" s="1"/>
    </row>
    <row r="15" spans="1:4" ht="19.5" customHeight="1">
      <c r="A15" s="16" t="s">
        <v>40</v>
      </c>
      <c r="B15" s="16"/>
      <c r="C15" s="16"/>
      <c r="D15" s="16"/>
    </row>
    <row r="16" spans="1:4" ht="18" customHeight="1">
      <c r="A16" s="2" t="s">
        <v>41</v>
      </c>
      <c r="B16" s="2" t="s">
        <v>42</v>
      </c>
      <c r="C16" s="2" t="s">
        <v>43</v>
      </c>
      <c r="D16" s="1"/>
    </row>
    <row r="17" spans="1:4" ht="18" customHeight="1">
      <c r="A17" s="8" t="str">
        <f>COUNTA('05_수행지표변화'!A9:A12)&amp;"가지"</f>
        <v>4가지</v>
      </c>
      <c r="B17" s="9" t="s">
        <v>44</v>
      </c>
      <c r="C17" s="5" t="s">
        <v>45</v>
      </c>
      <c r="D17" s="1"/>
    </row>
    <row r="18" spans="1:4" ht="18" customHeight="1">
      <c r="A18" s="8" t="str">
        <f>SUM('05_수행지표변화'!H18:H20)&amp;"점"</f>
        <v>12점</v>
      </c>
      <c r="B18" s="10" t="s">
        <v>46</v>
      </c>
      <c r="C18" s="8" t="str">
        <f>SUM('05_수행지표변화'!G18:G20)&amp;"점 → "&amp;SUM('05_수행지표변화'!H18:H20)&amp;"점"</f>
        <v>10점 → 12점</v>
      </c>
      <c r="D18" s="1"/>
    </row>
    <row r="19" spans="1:4" ht="18" customHeight="1">
      <c r="A19" s="8" t="str">
        <f>'05_수행지표변화'!C26&amp;"kg"</f>
        <v>56.2kg</v>
      </c>
      <c r="B19" s="9" t="s">
        <v>47</v>
      </c>
      <c r="C19" s="8" t="str">
        <f>'05_수행지표변화'!E26</f>
        <v>-1.2kg · -2.1%</v>
      </c>
      <c r="D19" s="1"/>
    </row>
    <row r="20" spans="1:4" ht="18" customHeight="1">
      <c r="A20" s="6" t="s">
        <v>48</v>
      </c>
      <c r="B20" s="10" t="s">
        <v>49</v>
      </c>
      <c r="C20" s="6" t="s">
        <v>50</v>
      </c>
      <c r="D20" s="1"/>
    </row>
    <row r="21" spans="1:4" ht="60" customHeight="1">
      <c r="A21" s="3" t="s">
        <v>51</v>
      </c>
      <c r="B21" s="4" t="s">
        <v>52</v>
      </c>
      <c r="C21" s="17" t="s">
        <v>53</v>
      </c>
      <c r="D21" s="17"/>
    </row>
    <row r="23" spans="1:4" ht="19.5" customHeight="1">
      <c r="A23" s="16" t="s">
        <v>54</v>
      </c>
      <c r="B23" s="16"/>
      <c r="C23" s="16"/>
      <c r="D23" s="16"/>
    </row>
    <row r="24" spans="1:4" ht="18" customHeight="1">
      <c r="A24" s="2" t="s">
        <v>55</v>
      </c>
      <c r="B24" s="2" t="s">
        <v>41</v>
      </c>
      <c r="C24" s="2" t="s">
        <v>42</v>
      </c>
      <c r="D24" s="1"/>
    </row>
    <row r="25" spans="1:4" ht="18" customHeight="1">
      <c r="A25" s="9" t="s">
        <v>56</v>
      </c>
      <c r="B25" s="8" t="str">
        <f>'01_표지'!C10</f>
        <v>6회</v>
      </c>
      <c r="C25" s="9" t="s">
        <v>57</v>
      </c>
      <c r="D25" s="1"/>
    </row>
    <row r="26" spans="1:4" ht="18" customHeight="1">
      <c r="A26" s="9" t="s">
        <v>56</v>
      </c>
      <c r="B26" s="8" t="str">
        <f>A17</f>
        <v>4가지</v>
      </c>
      <c r="C26" s="9" t="s">
        <v>44</v>
      </c>
      <c r="D26" s="1"/>
    </row>
    <row r="27" spans="1:4" ht="18" customHeight="1">
      <c r="A27" s="9" t="s">
        <v>56</v>
      </c>
      <c r="B27" s="6" t="s">
        <v>58</v>
      </c>
      <c r="C27" s="9" t="s">
        <v>59</v>
      </c>
      <c r="D27" s="1"/>
    </row>
    <row r="28" spans="1:4" ht="18" customHeight="1">
      <c r="A28" s="9" t="s">
        <v>56</v>
      </c>
      <c r="B28" s="6" t="s">
        <v>60</v>
      </c>
      <c r="C28" s="9" t="s">
        <v>61</v>
      </c>
      <c r="D28" s="1"/>
    </row>
    <row r="29" spans="1:4" ht="18" customHeight="1">
      <c r="A29" s="9" t="s">
        <v>62</v>
      </c>
      <c r="B29" s="8" t="str">
        <f>COUNTIF('03_회차별실천기록'!F7:F12,"nutrition")&amp;"회"</f>
        <v>4회</v>
      </c>
      <c r="C29" s="9" t="s">
        <v>63</v>
      </c>
      <c r="D29" s="1"/>
    </row>
    <row r="30" spans="1:4" ht="18" customHeight="1">
      <c r="A30" s="9" t="s">
        <v>62</v>
      </c>
      <c r="B30" s="6" t="s">
        <v>64</v>
      </c>
      <c r="C30" s="9" t="s">
        <v>65</v>
      </c>
      <c r="D30" s="1"/>
    </row>
    <row r="31" spans="1:4" ht="18" customHeight="1">
      <c r="A31" s="9" t="s">
        <v>62</v>
      </c>
      <c r="B31" s="5" t="s">
        <v>66</v>
      </c>
      <c r="C31" s="9" t="s">
        <v>67</v>
      </c>
      <c r="D31" s="1"/>
    </row>
    <row r="32" spans="1:4" ht="18" customHeight="1">
      <c r="A32" s="9" t="s">
        <v>68</v>
      </c>
      <c r="B32" s="8" t="str">
        <f>COUNTIF('03_회차별실천기록'!F7:F12,"psych")&amp;"회"</f>
        <v>1회</v>
      </c>
      <c r="C32" s="9" t="s">
        <v>69</v>
      </c>
      <c r="D32" s="1"/>
    </row>
    <row r="33" spans="1:4" ht="18" customHeight="1">
      <c r="A33" s="9" t="s">
        <v>68</v>
      </c>
      <c r="B33" s="5" t="s">
        <v>70</v>
      </c>
      <c r="C33" s="9" t="s">
        <v>71</v>
      </c>
      <c r="D33" s="1"/>
    </row>
    <row r="34" spans="1:4" ht="69.75" customHeight="1">
      <c r="A34" s="3" t="s">
        <v>72</v>
      </c>
      <c r="B34" s="4" t="s">
        <v>73</v>
      </c>
      <c r="C34" s="17" t="s">
        <v>74</v>
      </c>
      <c r="D34" s="17"/>
    </row>
    <row r="36" spans="1:4" ht="19.5" customHeight="1">
      <c r="A36" s="16" t="s">
        <v>75</v>
      </c>
      <c r="B36" s="16"/>
      <c r="C36" s="16"/>
      <c r="D36" s="16"/>
    </row>
    <row r="37" spans="1:4" ht="18" customHeight="1">
      <c r="A37" s="2" t="s">
        <v>41</v>
      </c>
      <c r="B37" s="2" t="s">
        <v>42</v>
      </c>
      <c r="C37" s="21"/>
      <c r="D37" s="21"/>
    </row>
    <row r="38" spans="1:4" ht="18" customHeight="1">
      <c r="A38" s="8" t="str">
        <f>'01_표지'!C10</f>
        <v>6회</v>
      </c>
      <c r="B38" s="9" t="s">
        <v>76</v>
      </c>
      <c r="C38" s="1"/>
      <c r="D38" s="1"/>
    </row>
    <row r="39" spans="1:4" ht="18" customHeight="1">
      <c r="A39" s="6" t="s">
        <v>58</v>
      </c>
      <c r="B39" s="9" t="s">
        <v>77</v>
      </c>
      <c r="C39" s="1"/>
      <c r="D39" s="1"/>
    </row>
    <row r="40" spans="1:4" ht="18" customHeight="1">
      <c r="A40" s="6" t="s">
        <v>78</v>
      </c>
      <c r="B40" s="9" t="s">
        <v>79</v>
      </c>
      <c r="C40" s="1"/>
      <c r="D40" s="1"/>
    </row>
    <row r="41" spans="1:4" ht="18" customHeight="1">
      <c r="A41" s="6" t="s">
        <v>80</v>
      </c>
      <c r="B41" s="9" t="s">
        <v>81</v>
      </c>
      <c r="C41" s="1"/>
      <c r="D41" s="1"/>
    </row>
    <row r="42" spans="1:4" ht="69.75" customHeight="1">
      <c r="A42" s="3" t="s">
        <v>82</v>
      </c>
      <c r="B42" s="4" t="s">
        <v>83</v>
      </c>
      <c r="C42" s="15" t="s">
        <v>84</v>
      </c>
      <c r="D42" s="15"/>
    </row>
    <row r="44" spans="1:4" ht="19.5" customHeight="1">
      <c r="A44" s="16" t="s">
        <v>85</v>
      </c>
      <c r="B44" s="16"/>
      <c r="C44" s="16"/>
      <c r="D44" s="16"/>
    </row>
    <row r="45" spans="1:4" ht="18" customHeight="1">
      <c r="A45" s="3" t="s">
        <v>86</v>
      </c>
      <c r="B45" s="4" t="s">
        <v>87</v>
      </c>
      <c r="C45" s="17" t="s">
        <v>35</v>
      </c>
      <c r="D45" s="17"/>
    </row>
    <row r="46" spans="1:4" ht="45" customHeight="1">
      <c r="A46" s="3" t="s">
        <v>88</v>
      </c>
      <c r="B46" s="4" t="s">
        <v>89</v>
      </c>
      <c r="C46" s="15" t="s">
        <v>90</v>
      </c>
      <c r="D46" s="15"/>
    </row>
    <row r="47" spans="1:4" ht="45" customHeight="1">
      <c r="A47" s="3" t="s">
        <v>91</v>
      </c>
      <c r="B47" s="4" t="s">
        <v>92</v>
      </c>
      <c r="C47" s="15" t="s">
        <v>93</v>
      </c>
      <c r="D47" s="15"/>
    </row>
    <row r="48" spans="1:4" ht="54.75" customHeight="1">
      <c r="A48" s="3" t="s">
        <v>94</v>
      </c>
      <c r="B48" s="4" t="s">
        <v>95</v>
      </c>
      <c r="C48" s="15" t="s">
        <v>96</v>
      </c>
      <c r="D48" s="15"/>
    </row>
  </sheetData>
  <mergeCells count="16">
    <mergeCell ref="A1:D1"/>
    <mergeCell ref="A2:D2"/>
    <mergeCell ref="A4:D4"/>
    <mergeCell ref="A6:D6"/>
    <mergeCell ref="A15:D15"/>
    <mergeCell ref="C21:D21"/>
    <mergeCell ref="A23:D23"/>
    <mergeCell ref="C34:D34"/>
    <mergeCell ref="A36:D36"/>
    <mergeCell ref="C37:D37"/>
    <mergeCell ref="C48:D48"/>
    <mergeCell ref="C42:D42"/>
    <mergeCell ref="A44:D44"/>
    <mergeCell ref="C45:D45"/>
    <mergeCell ref="C46:D46"/>
    <mergeCell ref="C47:D47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zoomScaleNormal="100" workbookViewId="0">
      <pane ySplit="3" topLeftCell="A4" activePane="bottomLeft" state="frozen"/>
      <selection pane="bottomLeft" sqref="A1:G1"/>
    </sheetView>
  </sheetViews>
  <sheetFormatPr defaultColWidth="8.5703125" defaultRowHeight="14.45"/>
  <cols>
    <col min="1" max="1" width="8" customWidth="1"/>
    <col min="2" max="2" width="10" customWidth="1"/>
    <col min="3" max="3" width="12" customWidth="1"/>
    <col min="4" max="4" width="36" customWidth="1"/>
    <col min="5" max="5" width="46" customWidth="1"/>
    <col min="6" max="6" width="14" customWidth="1"/>
    <col min="7" max="7" width="26" customWidth="1"/>
  </cols>
  <sheetData>
    <row r="1" spans="1:7" ht="25.5" customHeight="1">
      <c r="A1" s="12" t="s">
        <v>97</v>
      </c>
      <c r="B1" s="12"/>
      <c r="C1" s="12"/>
      <c r="D1" s="12"/>
      <c r="E1" s="12"/>
      <c r="F1" s="12"/>
      <c r="G1" s="12"/>
    </row>
    <row r="2" spans="1:7" ht="15.75" customHeight="1">
      <c r="A2" s="13" t="s">
        <v>98</v>
      </c>
      <c r="B2" s="13"/>
      <c r="C2" s="13"/>
      <c r="D2" s="13"/>
      <c r="E2" s="13"/>
      <c r="F2" s="13"/>
      <c r="G2" s="13"/>
    </row>
    <row r="4" spans="1:7" ht="15" customHeight="1">
      <c r="A4" s="18" t="s">
        <v>99</v>
      </c>
      <c r="B4" s="18"/>
      <c r="C4" s="18"/>
      <c r="D4" s="18"/>
      <c r="E4" s="18"/>
      <c r="F4" s="18"/>
      <c r="G4" s="18"/>
    </row>
    <row r="6" spans="1:7" ht="18" customHeight="1">
      <c r="A6" s="2" t="s">
        <v>23</v>
      </c>
      <c r="B6" s="2" t="s">
        <v>24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</row>
    <row r="7" spans="1:7" ht="48" customHeight="1">
      <c r="A7" s="6" t="s">
        <v>26</v>
      </c>
      <c r="B7" s="6" t="s">
        <v>27</v>
      </c>
      <c r="C7" s="6" t="s">
        <v>105</v>
      </c>
      <c r="D7" s="5" t="s">
        <v>106</v>
      </c>
      <c r="E7" s="5" t="s">
        <v>107</v>
      </c>
      <c r="F7" s="6" t="s">
        <v>108</v>
      </c>
      <c r="G7" s="5" t="s">
        <v>109</v>
      </c>
    </row>
    <row r="8" spans="1:7" ht="48" customHeight="1">
      <c r="A8" s="6" t="s">
        <v>29</v>
      </c>
      <c r="B8" s="6" t="s">
        <v>30</v>
      </c>
      <c r="C8" s="6" t="s">
        <v>110</v>
      </c>
      <c r="D8" s="5" t="s">
        <v>111</v>
      </c>
      <c r="E8" s="5" t="s">
        <v>112</v>
      </c>
      <c r="F8" s="6" t="s">
        <v>108</v>
      </c>
      <c r="G8" s="5" t="s">
        <v>113</v>
      </c>
    </row>
    <row r="9" spans="1:7" ht="48" customHeight="1">
      <c r="A9" s="6" t="s">
        <v>31</v>
      </c>
      <c r="B9" s="6" t="s">
        <v>32</v>
      </c>
      <c r="C9" s="6" t="s">
        <v>114</v>
      </c>
      <c r="D9" s="5" t="s">
        <v>115</v>
      </c>
      <c r="E9" s="5" t="s">
        <v>116</v>
      </c>
      <c r="F9" s="5"/>
      <c r="G9" s="5"/>
    </row>
    <row r="10" spans="1:7" ht="48" customHeight="1">
      <c r="A10" s="6" t="s">
        <v>33</v>
      </c>
      <c r="B10" s="6" t="s">
        <v>34</v>
      </c>
      <c r="C10" s="6" t="s">
        <v>117</v>
      </c>
      <c r="D10" s="5" t="s">
        <v>118</v>
      </c>
      <c r="E10" s="5" t="s">
        <v>119</v>
      </c>
      <c r="F10" s="6" t="s">
        <v>108</v>
      </c>
      <c r="G10" s="5" t="s">
        <v>120</v>
      </c>
    </row>
    <row r="11" spans="1:7" ht="48" customHeight="1">
      <c r="A11" s="6" t="s">
        <v>35</v>
      </c>
      <c r="B11" s="6" t="s">
        <v>36</v>
      </c>
      <c r="C11" s="6" t="s">
        <v>121</v>
      </c>
      <c r="D11" s="5" t="s">
        <v>122</v>
      </c>
      <c r="E11" s="5" t="s">
        <v>123</v>
      </c>
      <c r="F11" s="6" t="s">
        <v>124</v>
      </c>
      <c r="G11" s="5" t="s">
        <v>125</v>
      </c>
    </row>
    <row r="12" spans="1:7" ht="48" customHeight="1">
      <c r="A12" s="6" t="s">
        <v>37</v>
      </c>
      <c r="B12" s="6" t="s">
        <v>38</v>
      </c>
      <c r="C12" s="6" t="s">
        <v>28</v>
      </c>
      <c r="D12" s="5" t="s">
        <v>126</v>
      </c>
      <c r="E12" s="5" t="s">
        <v>127</v>
      </c>
      <c r="F12" s="6" t="s">
        <v>108</v>
      </c>
      <c r="G12" s="5" t="s">
        <v>128</v>
      </c>
    </row>
    <row r="14" spans="1:7" ht="30" customHeight="1">
      <c r="A14" s="3" t="s">
        <v>129</v>
      </c>
      <c r="B14" s="4" t="s">
        <v>130</v>
      </c>
      <c r="C14" s="15" t="s">
        <v>131</v>
      </c>
      <c r="D14" s="15"/>
      <c r="E14" s="15"/>
      <c r="F14" s="15"/>
      <c r="G14" s="15"/>
    </row>
  </sheetData>
  <mergeCells count="4">
    <mergeCell ref="A1:G1"/>
    <mergeCell ref="A2:G2"/>
    <mergeCell ref="A4:G4"/>
    <mergeCell ref="C14:G14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showGridLines="0" zoomScaleNormal="100" workbookViewId="0">
      <pane ySplit="3" topLeftCell="A4" activePane="bottomLeft" state="frozen"/>
      <selection pane="bottomLeft" sqref="A1:D1"/>
    </sheetView>
  </sheetViews>
  <sheetFormatPr defaultColWidth="8.5703125" defaultRowHeight="14.45"/>
  <cols>
    <col min="1" max="1" width="22" customWidth="1"/>
    <col min="2" max="3" width="32" customWidth="1"/>
    <col min="4" max="4" width="52" customWidth="1"/>
  </cols>
  <sheetData>
    <row r="1" spans="1:4" ht="25.5" customHeight="1">
      <c r="A1" s="12" t="s">
        <v>132</v>
      </c>
      <c r="B1" s="12"/>
      <c r="C1" s="12"/>
      <c r="D1" s="12"/>
    </row>
    <row r="2" spans="1:4" ht="15.75" customHeight="1">
      <c r="A2" s="13" t="s">
        <v>133</v>
      </c>
      <c r="B2" s="13"/>
      <c r="C2" s="13"/>
      <c r="D2" s="13"/>
    </row>
    <row r="4" spans="1:4" ht="15" customHeight="1">
      <c r="A4" s="14" t="s">
        <v>134</v>
      </c>
      <c r="B4" s="14"/>
      <c r="C4" s="14"/>
      <c r="D4" s="14"/>
    </row>
    <row r="6" spans="1:4" ht="18" customHeight="1">
      <c r="A6" s="2" t="s">
        <v>135</v>
      </c>
      <c r="B6" s="2" t="s">
        <v>136</v>
      </c>
      <c r="C6" s="2" t="s">
        <v>137</v>
      </c>
      <c r="D6" s="2" t="s">
        <v>138</v>
      </c>
    </row>
    <row r="7" spans="1:4" ht="54.75" customHeight="1">
      <c r="A7" s="5" t="s">
        <v>139</v>
      </c>
      <c r="B7" s="5" t="s">
        <v>140</v>
      </c>
      <c r="C7" s="5" t="s">
        <v>141</v>
      </c>
      <c r="D7" s="6" t="s">
        <v>142</v>
      </c>
    </row>
    <row r="8" spans="1:4" ht="54.75" customHeight="1">
      <c r="A8" s="5" t="s">
        <v>143</v>
      </c>
      <c r="B8" s="5" t="s">
        <v>144</v>
      </c>
      <c r="C8" s="5" t="s">
        <v>145</v>
      </c>
      <c r="D8" s="6" t="s">
        <v>146</v>
      </c>
    </row>
    <row r="9" spans="1:4" ht="54.75" customHeight="1">
      <c r="A9" s="5" t="s">
        <v>147</v>
      </c>
      <c r="B9" s="6" t="s">
        <v>148</v>
      </c>
      <c r="C9" s="5" t="s">
        <v>149</v>
      </c>
      <c r="D9" s="5" t="s">
        <v>150</v>
      </c>
    </row>
    <row r="10" spans="1:4" ht="54.75" customHeight="1">
      <c r="A10" s="5" t="s">
        <v>151</v>
      </c>
      <c r="B10" s="5" t="s">
        <v>152</v>
      </c>
      <c r="C10" s="5" t="s">
        <v>153</v>
      </c>
      <c r="D10" s="5" t="s">
        <v>154</v>
      </c>
    </row>
    <row r="11" spans="1:4" ht="54.75" customHeight="1">
      <c r="A11" s="5" t="s">
        <v>155</v>
      </c>
      <c r="B11" s="5" t="s">
        <v>156</v>
      </c>
      <c r="C11" s="5" t="s">
        <v>157</v>
      </c>
      <c r="D11" s="6" t="s">
        <v>158</v>
      </c>
    </row>
    <row r="12" spans="1:4" ht="54.75" customHeight="1">
      <c r="A12" s="5" t="s">
        <v>159</v>
      </c>
      <c r="B12" s="6" t="s">
        <v>160</v>
      </c>
      <c r="C12" s="5" t="s">
        <v>161</v>
      </c>
      <c r="D12" s="5" t="s">
        <v>162</v>
      </c>
    </row>
    <row r="14" spans="1:4" ht="69.75" customHeight="1">
      <c r="A14" s="3" t="s">
        <v>163</v>
      </c>
      <c r="B14" s="4" t="s">
        <v>164</v>
      </c>
      <c r="C14" s="15" t="s">
        <v>165</v>
      </c>
      <c r="D14" s="15"/>
    </row>
  </sheetData>
  <mergeCells count="4">
    <mergeCell ref="A1:D1"/>
    <mergeCell ref="A2:D2"/>
    <mergeCell ref="A4:D4"/>
    <mergeCell ref="C14:D14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showGridLines="0" zoomScaleNormal="100" workbookViewId="0">
      <pane ySplit="3" topLeftCell="A4" activePane="bottomLeft" state="frozen"/>
      <selection pane="bottomLeft" sqref="A1:H1"/>
    </sheetView>
  </sheetViews>
  <sheetFormatPr defaultColWidth="8.5703125" defaultRowHeight="14.45"/>
  <cols>
    <col min="1" max="1" width="16" customWidth="1"/>
    <col min="2" max="3" width="22" customWidth="1"/>
    <col min="4" max="5" width="10" customWidth="1"/>
    <col min="6" max="6" width="26" customWidth="1"/>
    <col min="7" max="8" width="12" customWidth="1"/>
  </cols>
  <sheetData>
    <row r="1" spans="1:8" ht="25.5" customHeight="1">
      <c r="A1" s="12" t="s">
        <v>166</v>
      </c>
      <c r="B1" s="12"/>
      <c r="C1" s="12"/>
      <c r="D1" s="12"/>
      <c r="E1" s="12"/>
      <c r="F1" s="12"/>
      <c r="G1" s="12"/>
      <c r="H1" s="12"/>
    </row>
    <row r="2" spans="1:8" ht="15.75" customHeight="1">
      <c r="A2" s="13" t="s">
        <v>167</v>
      </c>
      <c r="B2" s="13"/>
      <c r="C2" s="13"/>
      <c r="D2" s="13"/>
      <c r="E2" s="13"/>
      <c r="F2" s="13"/>
      <c r="G2" s="13"/>
      <c r="H2" s="13"/>
    </row>
    <row r="4" spans="1:8" ht="15" customHeight="1">
      <c r="A4" s="14" t="s">
        <v>168</v>
      </c>
      <c r="B4" s="14"/>
      <c r="C4" s="14"/>
      <c r="D4" s="14"/>
      <c r="E4" s="14"/>
      <c r="F4" s="14"/>
      <c r="G4" s="14"/>
      <c r="H4" s="14"/>
    </row>
    <row r="6" spans="1:8" ht="19.5" customHeight="1">
      <c r="A6" s="16" t="s">
        <v>169</v>
      </c>
      <c r="B6" s="16"/>
      <c r="C6" s="16"/>
      <c r="D6" s="16"/>
      <c r="E6" s="16"/>
      <c r="F6" s="16"/>
      <c r="G6" s="16"/>
      <c r="H6" s="16"/>
    </row>
    <row r="7" spans="1:8" ht="18" customHeight="1">
      <c r="A7" s="3" t="s">
        <v>170</v>
      </c>
      <c r="B7" s="4" t="s">
        <v>171</v>
      </c>
      <c r="C7" s="20" t="str">
        <f>COUNTA(A9:A12)&amp;"개 영역 새로 습득"</f>
        <v>4개 영역 새로 습득</v>
      </c>
      <c r="D7" s="20"/>
      <c r="E7" s="20"/>
      <c r="F7" s="20"/>
      <c r="G7" s="20"/>
      <c r="H7" s="20"/>
    </row>
    <row r="8" spans="1:8" ht="18" customHeight="1">
      <c r="A8" s="2" t="s">
        <v>172</v>
      </c>
      <c r="B8" s="2" t="s">
        <v>42</v>
      </c>
      <c r="C8" s="2" t="s">
        <v>173</v>
      </c>
      <c r="D8" s="2"/>
      <c r="E8" s="2"/>
      <c r="F8" s="2"/>
      <c r="G8" s="2"/>
      <c r="H8" s="2"/>
    </row>
    <row r="9" spans="1:8" ht="18" customHeight="1">
      <c r="A9" s="10" t="s">
        <v>174</v>
      </c>
      <c r="B9" s="9" t="s">
        <v>175</v>
      </c>
      <c r="C9" s="6" t="s">
        <v>176</v>
      </c>
      <c r="D9" s="5"/>
      <c r="E9" s="5"/>
      <c r="F9" s="5"/>
      <c r="G9" s="5"/>
      <c r="H9" s="5"/>
    </row>
    <row r="10" spans="1:8" ht="18" customHeight="1">
      <c r="A10" s="10" t="s">
        <v>177</v>
      </c>
      <c r="B10" s="9" t="s">
        <v>178</v>
      </c>
      <c r="C10" s="6" t="s">
        <v>179</v>
      </c>
      <c r="D10" s="5"/>
      <c r="E10" s="5"/>
      <c r="F10" s="5"/>
      <c r="G10" s="5"/>
      <c r="H10" s="5"/>
    </row>
    <row r="11" spans="1:8" ht="18" customHeight="1">
      <c r="A11" s="10" t="s">
        <v>180</v>
      </c>
      <c r="B11" s="9" t="s">
        <v>181</v>
      </c>
      <c r="C11" s="6" t="s">
        <v>182</v>
      </c>
      <c r="D11" s="5"/>
      <c r="E11" s="5"/>
      <c r="F11" s="5"/>
      <c r="G11" s="5"/>
      <c r="H11" s="5"/>
    </row>
    <row r="12" spans="1:8" ht="18" customHeight="1">
      <c r="A12" s="10" t="s">
        <v>183</v>
      </c>
      <c r="B12" s="9" t="s">
        <v>184</v>
      </c>
      <c r="C12" s="6" t="s">
        <v>185</v>
      </c>
      <c r="D12" s="5"/>
      <c r="E12" s="5"/>
      <c r="F12" s="5"/>
      <c r="G12" s="5"/>
      <c r="H12" s="5"/>
    </row>
    <row r="14" spans="1:8" ht="19.5" customHeight="1">
      <c r="A14" s="19" t="s">
        <v>186</v>
      </c>
      <c r="B14" s="19"/>
      <c r="C14" s="19"/>
      <c r="D14" s="19"/>
      <c r="E14" s="19"/>
      <c r="F14" s="19"/>
      <c r="G14" s="19"/>
      <c r="H14" s="19"/>
    </row>
    <row r="15" spans="1:8" ht="18" customHeight="1">
      <c r="A15" s="3" t="s">
        <v>187</v>
      </c>
      <c r="B15" s="4" t="s">
        <v>188</v>
      </c>
      <c r="C15" s="15" t="s">
        <v>189</v>
      </c>
      <c r="D15" s="15"/>
      <c r="E15" s="15"/>
      <c r="F15" s="15"/>
      <c r="G15" s="15"/>
      <c r="H15" s="15"/>
    </row>
    <row r="16" spans="1:8" ht="18" customHeight="1">
      <c r="A16" s="3" t="s">
        <v>190</v>
      </c>
      <c r="B16" s="4" t="s">
        <v>191</v>
      </c>
      <c r="C16" s="20" t="str">
        <f>SUM(G18:G20)&amp;" / "&amp;SUM(H18:H20)&amp;" / "&amp;(COUNTA(A18:A20)*4)</f>
        <v>10 / 12 / 12</v>
      </c>
      <c r="D16" s="20"/>
      <c r="E16" s="20"/>
      <c r="F16" s="20"/>
      <c r="G16" s="20"/>
      <c r="H16" s="20"/>
    </row>
    <row r="17" spans="1:8" ht="18" customHeight="1">
      <c r="A17" s="2" t="s">
        <v>192</v>
      </c>
      <c r="B17" s="2" t="s">
        <v>193</v>
      </c>
      <c r="C17" s="2" t="s">
        <v>194</v>
      </c>
      <c r="D17" s="2" t="s">
        <v>195</v>
      </c>
      <c r="E17" s="2" t="s">
        <v>196</v>
      </c>
      <c r="F17" s="2" t="s">
        <v>197</v>
      </c>
      <c r="G17" s="2" t="s">
        <v>198</v>
      </c>
      <c r="H17" s="2" t="s">
        <v>199</v>
      </c>
    </row>
    <row r="18" spans="1:8" ht="18" customHeight="1">
      <c r="A18" s="9" t="s">
        <v>200</v>
      </c>
      <c r="B18" s="9" t="s">
        <v>201</v>
      </c>
      <c r="C18" s="9" t="s">
        <v>202</v>
      </c>
      <c r="D18" s="5">
        <v>3.8</v>
      </c>
      <c r="E18" s="5">
        <v>10</v>
      </c>
      <c r="F18" s="9" t="s">
        <v>203</v>
      </c>
      <c r="G18" s="5">
        <v>3</v>
      </c>
      <c r="H18" s="5">
        <v>4</v>
      </c>
    </row>
    <row r="19" spans="1:8" ht="18" customHeight="1">
      <c r="A19" s="9" t="s">
        <v>204</v>
      </c>
      <c r="B19" s="10" t="s">
        <v>205</v>
      </c>
      <c r="C19" s="9" t="s">
        <v>202</v>
      </c>
      <c r="D19" s="5">
        <v>6.85</v>
      </c>
      <c r="E19" s="5">
        <v>5.0999999999999996</v>
      </c>
      <c r="F19" s="9" t="s">
        <v>206</v>
      </c>
      <c r="G19" s="5">
        <v>3</v>
      </c>
      <c r="H19" s="5">
        <v>4</v>
      </c>
    </row>
    <row r="20" spans="1:8" ht="18" customHeight="1">
      <c r="A20" s="9" t="s">
        <v>207</v>
      </c>
      <c r="B20" s="10" t="s">
        <v>208</v>
      </c>
      <c r="C20" s="9" t="s">
        <v>202</v>
      </c>
      <c r="D20" s="5">
        <v>9.8000000000000007</v>
      </c>
      <c r="E20" s="5">
        <v>9.8000000000000007</v>
      </c>
      <c r="F20" s="9" t="s">
        <v>206</v>
      </c>
      <c r="G20" s="5">
        <v>4</v>
      </c>
      <c r="H20" s="5">
        <v>4</v>
      </c>
    </row>
    <row r="21" spans="1:8" ht="18" customHeight="1">
      <c r="A21" s="3" t="s">
        <v>209</v>
      </c>
      <c r="B21" s="4" t="s">
        <v>210</v>
      </c>
      <c r="C21" s="15" t="s">
        <v>211</v>
      </c>
      <c r="D21" s="15"/>
      <c r="E21" s="15"/>
      <c r="F21" s="15"/>
      <c r="G21" s="15"/>
      <c r="H21" s="15"/>
    </row>
    <row r="22" spans="1:8" ht="60" customHeight="1">
      <c r="A22" s="3" t="s">
        <v>212</v>
      </c>
      <c r="B22" s="4" t="s">
        <v>213</v>
      </c>
      <c r="C22" s="15" t="s">
        <v>214</v>
      </c>
      <c r="D22" s="15"/>
      <c r="E22" s="15"/>
      <c r="F22" s="15"/>
      <c r="G22" s="15"/>
      <c r="H22" s="15"/>
    </row>
    <row r="24" spans="1:8" ht="19.5" customHeight="1">
      <c r="A24" s="16" t="s">
        <v>215</v>
      </c>
      <c r="B24" s="16"/>
      <c r="C24" s="16"/>
      <c r="D24" s="16"/>
      <c r="E24" s="16"/>
      <c r="F24" s="16"/>
      <c r="G24" s="16"/>
      <c r="H24" s="16"/>
    </row>
    <row r="25" spans="1:8" ht="18" customHeight="1">
      <c r="A25" s="2" t="s">
        <v>216</v>
      </c>
      <c r="B25" s="2" t="s">
        <v>217</v>
      </c>
      <c r="C25" s="2" t="s">
        <v>218</v>
      </c>
      <c r="D25" s="2" t="s">
        <v>194</v>
      </c>
      <c r="E25" s="2" t="s">
        <v>219</v>
      </c>
      <c r="F25" s="21"/>
      <c r="G25" s="21"/>
      <c r="H25" s="21"/>
    </row>
    <row r="26" spans="1:8" ht="18" customHeight="1">
      <c r="A26" s="9" t="s">
        <v>47</v>
      </c>
      <c r="B26" s="5">
        <v>57.4</v>
      </c>
      <c r="C26" s="5">
        <v>56.2</v>
      </c>
      <c r="D26" s="10" t="s">
        <v>220</v>
      </c>
      <c r="E26" s="8" t="str">
        <f>TEXT(C26-B26,"+0.0;-0.0")&amp;"kg · "&amp;TEXT((C26-B26)/B26,"+0.0%;-0.0%")</f>
        <v>-1.2kg · -2.1%</v>
      </c>
      <c r="F26" s="1"/>
      <c r="G26" s="1"/>
      <c r="H26" s="1"/>
    </row>
    <row r="27" spans="1:8" ht="45" customHeight="1">
      <c r="A27" s="3" t="s">
        <v>221</v>
      </c>
      <c r="B27" s="4" t="s">
        <v>222</v>
      </c>
      <c r="C27" s="15" t="s">
        <v>223</v>
      </c>
      <c r="D27" s="15"/>
      <c r="E27" s="15"/>
      <c r="F27" s="15"/>
      <c r="G27" s="15"/>
      <c r="H27" s="15"/>
    </row>
    <row r="28" spans="1:8" ht="18" customHeight="1">
      <c r="A28" s="3" t="s">
        <v>224</v>
      </c>
      <c r="B28" s="11" t="s">
        <v>225</v>
      </c>
      <c r="C28" s="17" t="s">
        <v>50</v>
      </c>
      <c r="D28" s="17"/>
      <c r="E28" s="17"/>
      <c r="F28" s="17"/>
      <c r="G28" s="17"/>
      <c r="H28" s="17"/>
    </row>
  </sheetData>
  <mergeCells count="14">
    <mergeCell ref="A1:H1"/>
    <mergeCell ref="A2:H2"/>
    <mergeCell ref="A4:H4"/>
    <mergeCell ref="A6:H6"/>
    <mergeCell ref="C7:H7"/>
    <mergeCell ref="A24:H24"/>
    <mergeCell ref="F25:H25"/>
    <mergeCell ref="C27:H27"/>
    <mergeCell ref="C28:H28"/>
    <mergeCell ref="A14:H14"/>
    <mergeCell ref="C15:H15"/>
    <mergeCell ref="C16:H16"/>
    <mergeCell ref="C21:H21"/>
    <mergeCell ref="C22:H22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showGridLines="0" zoomScaleNormal="100" workbookViewId="0">
      <pane ySplit="3" topLeftCell="A4" activePane="bottomLeft" state="frozen"/>
      <selection pane="bottomLeft" sqref="A1:F1"/>
    </sheetView>
  </sheetViews>
  <sheetFormatPr defaultColWidth="8.5703125" defaultRowHeight="14.45"/>
  <cols>
    <col min="1" max="1" width="20" customWidth="1"/>
    <col min="2" max="2" width="22" customWidth="1"/>
    <col min="3" max="4" width="20" customWidth="1"/>
    <col min="5" max="5" width="14" customWidth="1"/>
    <col min="6" max="6" width="26" customWidth="1"/>
  </cols>
  <sheetData>
    <row r="1" spans="1:6" ht="25.5" customHeight="1">
      <c r="A1" s="12" t="s">
        <v>226</v>
      </c>
      <c r="B1" s="12"/>
      <c r="C1" s="12"/>
      <c r="D1" s="12"/>
      <c r="E1" s="12"/>
      <c r="F1" s="12"/>
    </row>
    <row r="2" spans="1:6" ht="15.75" customHeight="1">
      <c r="A2" s="13" t="s">
        <v>227</v>
      </c>
      <c r="B2" s="13"/>
      <c r="C2" s="13"/>
      <c r="D2" s="13"/>
      <c r="E2" s="13"/>
      <c r="F2" s="13"/>
    </row>
    <row r="4" spans="1:6" ht="15" customHeight="1">
      <c r="A4" s="14" t="s">
        <v>228</v>
      </c>
      <c r="B4" s="14"/>
      <c r="C4" s="14"/>
      <c r="D4" s="14"/>
      <c r="E4" s="14"/>
      <c r="F4" s="14"/>
    </row>
    <row r="6" spans="1:6" ht="18" customHeight="1">
      <c r="A6" s="3" t="s">
        <v>229</v>
      </c>
      <c r="B6" s="4" t="s">
        <v>230</v>
      </c>
      <c r="C6" s="15" t="s">
        <v>11</v>
      </c>
      <c r="D6" s="15"/>
      <c r="E6" s="15"/>
      <c r="F6" s="15"/>
    </row>
    <row r="8" spans="1:6" ht="19.5" customHeight="1">
      <c r="A8" s="16" t="s">
        <v>231</v>
      </c>
      <c r="B8" s="16"/>
      <c r="C8" s="16"/>
      <c r="D8" s="16"/>
      <c r="E8" s="16"/>
      <c r="F8" s="16"/>
    </row>
    <row r="9" spans="1:6" ht="18" customHeight="1">
      <c r="A9" s="3" t="s">
        <v>232</v>
      </c>
      <c r="B9" s="4" t="s">
        <v>188</v>
      </c>
      <c r="C9" s="15" t="s">
        <v>233</v>
      </c>
      <c r="D9" s="15"/>
      <c r="E9" s="15"/>
      <c r="F9" s="15"/>
    </row>
    <row r="10" spans="1:6" ht="18" customHeight="1">
      <c r="A10" s="2" t="s">
        <v>234</v>
      </c>
      <c r="B10" s="2" t="s">
        <v>235</v>
      </c>
      <c r="C10" s="2"/>
      <c r="D10" s="2"/>
      <c r="E10" s="2"/>
      <c r="F10" s="2"/>
    </row>
    <row r="11" spans="1:6" ht="15.75" customHeight="1">
      <c r="A11" s="10" t="s">
        <v>236</v>
      </c>
      <c r="B11" s="5">
        <v>32.4</v>
      </c>
      <c r="C11" s="5"/>
      <c r="D11" s="5"/>
      <c r="E11" s="5"/>
      <c r="F11" s="5"/>
    </row>
    <row r="12" spans="1:6" ht="15.75" customHeight="1">
      <c r="A12" s="10" t="s">
        <v>237</v>
      </c>
      <c r="B12" s="5">
        <v>33</v>
      </c>
      <c r="C12" s="5"/>
      <c r="D12" s="5"/>
      <c r="E12" s="5"/>
      <c r="F12" s="5"/>
    </row>
    <row r="13" spans="1:6" ht="15.75" customHeight="1">
      <c r="A13" s="10" t="s">
        <v>238</v>
      </c>
      <c r="B13" s="5">
        <v>31.4</v>
      </c>
      <c r="C13" s="5"/>
      <c r="D13" s="5"/>
      <c r="E13" s="5"/>
      <c r="F13" s="5"/>
    </row>
    <row r="14" spans="1:6" ht="15.75" customHeight="1">
      <c r="A14" s="10" t="s">
        <v>239</v>
      </c>
      <c r="B14" s="5">
        <v>31</v>
      </c>
      <c r="C14" s="5"/>
      <c r="D14" s="5"/>
      <c r="E14" s="5"/>
      <c r="F14" s="5"/>
    </row>
    <row r="15" spans="1:6" ht="15.75" customHeight="1">
      <c r="A15" s="10" t="s">
        <v>240</v>
      </c>
      <c r="B15" s="5">
        <v>30.6</v>
      </c>
      <c r="C15" s="5"/>
      <c r="D15" s="5"/>
      <c r="E15" s="5"/>
      <c r="F15" s="5"/>
    </row>
    <row r="16" spans="1:6" ht="15.75" customHeight="1">
      <c r="A16" s="10" t="s">
        <v>241</v>
      </c>
      <c r="B16" s="5">
        <v>30.4</v>
      </c>
      <c r="C16" s="5"/>
      <c r="D16" s="5"/>
      <c r="E16" s="5"/>
      <c r="F16" s="5"/>
    </row>
    <row r="17" spans="1:6" ht="18" customHeight="1">
      <c r="A17" s="3" t="s">
        <v>242</v>
      </c>
      <c r="B17" s="4" t="s">
        <v>243</v>
      </c>
      <c r="C17" s="20" t="str">
        <f>TEXT(B16-B11,"+0.0;-0.0")&amp;"cm"</f>
        <v>-2.0cm</v>
      </c>
      <c r="D17" s="20"/>
      <c r="E17" s="20"/>
      <c r="F17" s="20"/>
    </row>
    <row r="18" spans="1:6" ht="45" customHeight="1">
      <c r="A18" s="3" t="s">
        <v>244</v>
      </c>
      <c r="B18" s="4" t="s">
        <v>245</v>
      </c>
      <c r="C18" s="15" t="s">
        <v>246</v>
      </c>
      <c r="D18" s="15"/>
      <c r="E18" s="15"/>
      <c r="F18" s="15"/>
    </row>
    <row r="19" spans="1:6" ht="18" customHeight="1">
      <c r="A19" s="2" t="s">
        <v>247</v>
      </c>
      <c r="B19" s="2" t="s">
        <v>217</v>
      </c>
      <c r="C19" s="2" t="s">
        <v>218</v>
      </c>
      <c r="D19" s="2" t="s">
        <v>194</v>
      </c>
      <c r="E19" s="2" t="s">
        <v>219</v>
      </c>
      <c r="F19" s="2"/>
    </row>
    <row r="20" spans="1:6" ht="18" customHeight="1">
      <c r="A20" s="9" t="s">
        <v>248</v>
      </c>
      <c r="B20" s="5">
        <v>2150</v>
      </c>
      <c r="C20" s="5">
        <v>2090</v>
      </c>
      <c r="D20" s="10" t="s">
        <v>249</v>
      </c>
      <c r="E20" s="8" t="str">
        <f>TEXT(C20-B20,"+0;-0")&amp;"mL"</f>
        <v>-60mL</v>
      </c>
      <c r="F20" s="5"/>
    </row>
    <row r="21" spans="1:6" ht="18" customHeight="1">
      <c r="A21" s="9" t="s">
        <v>250</v>
      </c>
      <c r="B21" s="5">
        <v>8.6</v>
      </c>
      <c r="C21" s="5">
        <v>5.0999999999999996</v>
      </c>
      <c r="D21" s="10" t="s">
        <v>251</v>
      </c>
      <c r="E21" s="8" t="str">
        <f>TEXT(C21-B21,"+0.0;-0.0")&amp;"%p"</f>
        <v>-3.5%p</v>
      </c>
      <c r="F21" s="5"/>
    </row>
    <row r="22" spans="1:6" ht="30" customHeight="1">
      <c r="A22" s="3" t="s">
        <v>252</v>
      </c>
      <c r="B22" s="4" t="s">
        <v>253</v>
      </c>
      <c r="C22" s="15" t="s">
        <v>254</v>
      </c>
      <c r="D22" s="15"/>
      <c r="E22" s="15"/>
      <c r="F22" s="15"/>
    </row>
    <row r="24" spans="1:6" ht="19.5" customHeight="1">
      <c r="A24" s="16" t="s">
        <v>255</v>
      </c>
      <c r="B24" s="16"/>
      <c r="C24" s="16"/>
      <c r="D24" s="16"/>
      <c r="E24" s="16"/>
      <c r="F24" s="16"/>
    </row>
    <row r="25" spans="1:6" ht="18" customHeight="1">
      <c r="A25" s="2" t="s">
        <v>256</v>
      </c>
      <c r="B25" s="2" t="s">
        <v>136</v>
      </c>
      <c r="C25" s="2" t="s">
        <v>137</v>
      </c>
      <c r="D25" s="2" t="s">
        <v>194</v>
      </c>
      <c r="E25" s="2" t="s">
        <v>102</v>
      </c>
      <c r="F25" s="2" t="s">
        <v>257</v>
      </c>
    </row>
    <row r="26" spans="1:6" ht="45" customHeight="1">
      <c r="A26" s="9" t="s">
        <v>258</v>
      </c>
      <c r="B26" s="5">
        <v>105</v>
      </c>
      <c r="C26" s="5">
        <v>145</v>
      </c>
      <c r="D26" s="10" t="s">
        <v>259</v>
      </c>
      <c r="E26" s="5" t="s">
        <v>260</v>
      </c>
      <c r="F26" s="8" t="str">
        <f>(C26-B26)&amp;D26</f>
        <v>40°</v>
      </c>
    </row>
    <row r="27" spans="1:6" ht="45" customHeight="1">
      <c r="A27" s="9" t="s">
        <v>261</v>
      </c>
      <c r="B27" s="5">
        <v>95</v>
      </c>
      <c r="C27" s="5">
        <v>130</v>
      </c>
      <c r="D27" s="10" t="s">
        <v>259</v>
      </c>
      <c r="E27" s="5" t="s">
        <v>262</v>
      </c>
      <c r="F27" s="8" t="str">
        <f>(C27-B27)&amp;D27</f>
        <v>35°</v>
      </c>
    </row>
    <row r="28" spans="1:6" ht="45" customHeight="1">
      <c r="A28" s="9" t="s">
        <v>263</v>
      </c>
      <c r="B28" s="5">
        <v>35</v>
      </c>
      <c r="C28" s="5">
        <v>55</v>
      </c>
      <c r="D28" s="10" t="s">
        <v>259</v>
      </c>
      <c r="E28" s="5" t="s">
        <v>264</v>
      </c>
      <c r="F28" s="8" t="str">
        <f>(C28-B28)&amp;D28</f>
        <v>20°</v>
      </c>
    </row>
    <row r="29" spans="1:6" ht="18" customHeight="1">
      <c r="A29" s="3" t="s">
        <v>265</v>
      </c>
      <c r="B29" s="4" t="s">
        <v>210</v>
      </c>
      <c r="C29" s="15" t="s">
        <v>266</v>
      </c>
      <c r="D29" s="15"/>
      <c r="E29" s="15"/>
      <c r="F29" s="15"/>
    </row>
    <row r="30" spans="1:6" ht="60" customHeight="1">
      <c r="A30" s="3" t="s">
        <v>267</v>
      </c>
      <c r="B30" s="4" t="s">
        <v>213</v>
      </c>
      <c r="C30" s="15" t="s">
        <v>268</v>
      </c>
      <c r="D30" s="15"/>
      <c r="E30" s="15"/>
      <c r="F30" s="15"/>
    </row>
    <row r="31" spans="1:6" ht="18" customHeight="1">
      <c r="A31" s="3" t="s">
        <v>269</v>
      </c>
      <c r="B31" s="4" t="s">
        <v>253</v>
      </c>
      <c r="C31" s="15" t="s">
        <v>270</v>
      </c>
      <c r="D31" s="15"/>
      <c r="E31" s="15"/>
      <c r="F31" s="15"/>
    </row>
    <row r="33" spans="1:6" ht="45" customHeight="1">
      <c r="A33" s="3" t="s">
        <v>271</v>
      </c>
      <c r="B33" s="4" t="s">
        <v>272</v>
      </c>
      <c r="C33" s="15" t="s">
        <v>273</v>
      </c>
      <c r="D33" s="15"/>
      <c r="E33" s="15"/>
      <c r="F33" s="15"/>
    </row>
  </sheetData>
  <mergeCells count="14">
    <mergeCell ref="A1:F1"/>
    <mergeCell ref="A2:F2"/>
    <mergeCell ref="A4:F4"/>
    <mergeCell ref="C6:F6"/>
    <mergeCell ref="A8:F8"/>
    <mergeCell ref="C29:F29"/>
    <mergeCell ref="C30:F30"/>
    <mergeCell ref="C31:F31"/>
    <mergeCell ref="C33:F33"/>
    <mergeCell ref="C9:F9"/>
    <mergeCell ref="C17:F17"/>
    <mergeCell ref="C18:F18"/>
    <mergeCell ref="C22:F22"/>
    <mergeCell ref="A24:F24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showGridLines="0" tabSelected="1" zoomScaleNormal="100" workbookViewId="0">
      <pane ySplit="3" topLeftCell="A4" activePane="bottomLeft" state="frozen"/>
      <selection pane="bottomLeft" sqref="A1:B1"/>
    </sheetView>
  </sheetViews>
  <sheetFormatPr defaultColWidth="8.5703125" defaultRowHeight="14.45"/>
  <cols>
    <col min="1" max="1" width="22" customWidth="1"/>
    <col min="2" max="2" width="70" customWidth="1"/>
  </cols>
  <sheetData>
    <row r="1" spans="1:3" ht="25.5" customHeight="1">
      <c r="A1" s="12" t="s">
        <v>274</v>
      </c>
      <c r="B1" s="12"/>
      <c r="C1" s="1"/>
    </row>
    <row r="2" spans="1:3" ht="15.75" customHeight="1">
      <c r="A2" s="13" t="s">
        <v>275</v>
      </c>
      <c r="B2" s="13"/>
      <c r="C2" s="1"/>
    </row>
    <row r="4" spans="1:3" ht="15" customHeight="1">
      <c r="A4" s="14" t="s">
        <v>276</v>
      </c>
      <c r="B4" s="14"/>
      <c r="C4" s="1"/>
    </row>
    <row r="6" spans="1:3" ht="18" customHeight="1">
      <c r="A6" s="3" t="s">
        <v>277</v>
      </c>
      <c r="B6" s="4" t="s">
        <v>278</v>
      </c>
      <c r="C6" s="6" t="s">
        <v>279</v>
      </c>
    </row>
    <row r="7" spans="1:3" ht="69.75" customHeight="1">
      <c r="A7" s="3" t="s">
        <v>280</v>
      </c>
      <c r="B7" s="4" t="s">
        <v>281</v>
      </c>
      <c r="C7" s="5" t="s">
        <v>282</v>
      </c>
    </row>
    <row r="8" spans="1:3" ht="69.75" customHeight="1">
      <c r="A8" s="3" t="s">
        <v>283</v>
      </c>
      <c r="B8" s="4" t="s">
        <v>284</v>
      </c>
      <c r="C8" s="5" t="s">
        <v>285</v>
      </c>
    </row>
    <row r="9" spans="1:3" ht="69.75" customHeight="1">
      <c r="A9" s="3" t="s">
        <v>286</v>
      </c>
      <c r="B9" s="4" t="s">
        <v>287</v>
      </c>
      <c r="C9" s="5" t="s">
        <v>288</v>
      </c>
    </row>
    <row r="10" spans="1:3" ht="18" customHeight="1">
      <c r="A10" s="3" t="s">
        <v>289</v>
      </c>
      <c r="B10" s="4" t="s">
        <v>290</v>
      </c>
      <c r="C10" s="5" t="s">
        <v>291</v>
      </c>
    </row>
    <row r="11" spans="1:3" ht="54.75" customHeight="1">
      <c r="A11" s="3" t="s">
        <v>292</v>
      </c>
      <c r="B11" s="4" t="s">
        <v>293</v>
      </c>
      <c r="C11" s="5" t="s">
        <v>294</v>
      </c>
    </row>
    <row r="12" spans="1:3" ht="45" customHeight="1">
      <c r="A12" s="3" t="s">
        <v>295</v>
      </c>
      <c r="B12" s="4" t="s">
        <v>296</v>
      </c>
      <c r="C12" s="5" t="s">
        <v>297</v>
      </c>
    </row>
  </sheetData>
  <mergeCells count="3">
    <mergeCell ref="A1:B1"/>
    <mergeCell ref="A2:B2"/>
    <mergeCell ref="A4:B4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2026-09-21T12:23:23Z</dcterms:created>
  <dcterms:modified xsi:type="dcterms:W3CDTF">2026-09-23T04:08:31Z</dcterms:modified>
  <cp:category/>
  <cp:contentStatus/>
</cp:coreProperties>
</file>
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xr:revisionPtr revIDLastSave="0" documentId="11_5B1173722A7D4712DEE888AF19756C87F1DA0BE2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0_README" sheetId="1" r:id="rId1"/>
    <sheet name="S1_Input_Raw" sheetId="2" r:id="rId2"/>
    <sheet name="S2_Input_Profile" sheetId="3" r:id="rId3"/>
    <sheet name="S3_Config" sheetId="4" r:id="rId4"/>
    <sheet name="S4_Calc_Daily" sheetId="5" r:id="rId5"/>
    <sheet name="S5_Calc_Weekly" sheetId="6" r:id="rId6"/>
    <sheet name="S6_Text_Gen" sheetId="7" r:id="rId7"/>
    <sheet name="S7_Output_Summary" sheetId="8" r:id="rId8"/>
  </sheets>
  <definedNames>
    <definedName name="D_ACT">S4_Calc_Daily!$R$5:$R$11</definedName>
    <definedName name="D_ANOMALY">S4_Calc_Daily!$AE$5:$AE$11</definedName>
    <definedName name="D_AVGDUR">S4_Calc_Daily!$AJ$5:$AJ$11</definedName>
    <definedName name="D_AWAKE">S4_Calc_Daily!$M$5:$M$11</definedName>
    <definedName name="D_BEDMIN">S4_Calc_Daily!$C$5:$C$11</definedName>
    <definedName name="D_BUCKET">S4_Calc_Daily!$AA$5:$AA$11</definedName>
    <definedName name="D_DEEP_PCT">S4_Calc_Daily!$I$5:$I$11</definedName>
    <definedName name="D_HR">S4_Calc_Daily!$N$5:$N$11</definedName>
    <definedName name="D_KCAL_DEVICE">S4_Calc_Daily!$T$5:$T$11</definedName>
    <definedName name="D_LABEL">S4_Calc_Daily!$A$5:$A$11</definedName>
    <definedName name="D_LIGHT_PCT">S4_Calc_Daily!$J$5:$J$11</definedName>
    <definedName name="D_MONITORED">S4_Calc_Daily!$AL$5:$AL$11</definedName>
    <definedName name="D_MULTI">S4_Calc_Daily!$AH$5:$AH$11</definedName>
    <definedName name="D_REM_PCT">S4_Calc_Daily!$K$5:$K$11</definedName>
    <definedName name="D_RR">S4_Calc_Daily!$O$5:$O$11</definedName>
    <definedName name="D_SE">S4_Calc_Daily!$AQ$5:$AQ$11</definedName>
    <definedName name="D_SE_CALC">S4_Calc_Daily!$H$5:$H$11</definedName>
    <definedName name="D_SE_COMPARE_QA">S4_Calc_Daily!$AP$5:$AP$11</definedName>
    <definedName name="D_SE_DEVICE">S4_Calc_Daily!$AN$5:$AN$11</definedName>
    <definedName name="D_SE_DIFF">S4_Calc_Daily!$AO$5:$AO$11</definedName>
    <definedName name="D_SOL">S4_Calc_Daily!$L$5:$L$11</definedName>
    <definedName name="D_SPO2">S4_Calc_Daily!$P$5:$P$11</definedName>
    <definedName name="D_TDEE">S4_Calc_Daily!$X$5:$X$11</definedName>
    <definedName name="D_TIB">S4_Calc_Daily!$E$5:$E$11</definedName>
    <definedName name="D_TIB_QA">S4_Calc_Daily!$AM$5:$AM$11</definedName>
    <definedName name="D_TST">S4_Calc_Daily!$F$5:$F$11</definedName>
    <definedName name="D_TYPE">S4_Calc_Daily!$Z$5:$Z$11</definedName>
    <definedName name="D_VITAL">S4_Calc_Daily!$U$5:$U$11</definedName>
    <definedName name="D_WAKEMIN">S4_Calc_Daily!$D$5:$D$11</definedName>
    <definedName name="D_WASO_DEVICE">S4_Calc_Daily!$AI$5:$AI$11</definedName>
    <definedName name="D_WASO_QA">S4_Calc_Daily!$AK$5:$AK$11</definedName>
    <definedName name="IN_ACT">S1_Input_Raw!$N$5:$N$11</definedName>
    <definedName name="IN_AWAKE">S1_Input_Raw!$I$5:$I$11</definedName>
    <definedName name="IN_BEDTIME">S1_Input_Raw!$C$5:$C$11</definedName>
    <definedName name="IN_DATE">S1_Input_Raw!$B$5:$B$11</definedName>
    <definedName name="IN_DEEP">S1_Input_Raw!$F$5:$F$11</definedName>
    <definedName name="IN_HR">S1_Input_Raw!$J$5:$J$11</definedName>
    <definedName name="IN_KCAL_DEVICE">S1_Input_Raw!$P$5:$P$11</definedName>
    <definedName name="IN_LIGHT">S1_Input_Raw!$G$5:$G$11</definedName>
    <definedName name="IN_REM">S1_Input_Raw!$H$5:$H$11</definedName>
    <definedName name="IN_RR">S1_Input_Raw!$K$5:$K$11</definedName>
    <definedName name="IN_SE_DEVICE">S1_Input_Raw!$S$5:$S$11</definedName>
    <definedName name="IN_SOL">S1_Input_Raw!$E$5:$E$11</definedName>
    <definedName name="IN_SPO2">S1_Input_Raw!$L$5:$L$11</definedName>
    <definedName name="IN_SPO2MIN">S1_Input_Raw!$M$5:$M$11</definedName>
    <definedName name="IN_STEPS">S1_Input_Raw!$O$5:$O$11</definedName>
    <definedName name="IN_VITAL">S1_Input_Raw!$Q$5:$Q$11</definedName>
    <definedName name="IN_WAKETIME">S1_Input_Raw!$D$5:$D$11</definedName>
    <definedName name="IN_WASO_DEVICE">S1_Input_Raw!$R$5:$R$11</definedName>
    <definedName name="NR_ACT_AVG">S5_Calc_Weekly!$B$13</definedName>
    <definedName name="NR_ACT_DAILY_TARGET">S3_Config!$D$15</definedName>
    <definedName name="NR_ACT_MAX">S5_Calc_Weekly!$D$13</definedName>
    <definedName name="NR_ACT_MAXDAY">S5_Calc_Weekly!$G$13</definedName>
    <definedName name="NR_ACT_MIN">S5_Calc_Weekly!$C$13</definedName>
    <definedName name="NR_ACT_MINDAY">S5_Calc_Weekly!$H$13</definedName>
    <definedName name="NR_ACT_RANGE">S5_Calc_Weekly!$E$13</definedName>
    <definedName name="NR_ACT_SD">S5_Calc_Weekly!$F$13</definedName>
    <definedName name="NR_ACT_WEEKLY_REF">S3_Config!$B$14</definedName>
    <definedName name="NR_AGE">S2_Input_Profile!$B$7</definedName>
    <definedName name="NR_ANOM_COUNT">S5_Calc_Weekly!$B$69</definedName>
    <definedName name="NR_ANOM_DAYS">S5_Calc_Weekly!$B$70</definedName>
    <definedName name="NR_ANOM_MULTI">S5_Calc_Weekly!$B$71</definedName>
    <definedName name="NR_AVGDUR_AVG">S5_Calc_Weekly!$B$20</definedName>
    <definedName name="NR_AVGDUR_MAX">S5_Calc_Weekly!$D$20</definedName>
    <definedName name="NR_AVGDUR_MAXDAY">S5_Calc_Weekly!$G$20</definedName>
    <definedName name="NR_AVGDUR_MIN">S5_Calc_Weekly!$C$20</definedName>
    <definedName name="NR_AVGDUR_MINDAY">S5_Calc_Weekly!$H$20</definedName>
    <definedName name="NR_AVGDUR_RANGE">S5_Calc_Weekly!$E$20</definedName>
    <definedName name="NR_AVGDUR_SD">S5_Calc_Weekly!$F$20</definedName>
    <definedName name="NR_AWAKE_AVG">S5_Calc_Weekly!$B$9</definedName>
    <definedName name="NR_AWAKE_MAX">S5_Calc_Weekly!$D$9</definedName>
    <definedName name="NR_AWAKE_MAXDAY">S5_Calc_Weekly!$G$9</definedName>
    <definedName name="NR_AWAKE_MIN">S5_Calc_Weekly!$C$9</definedName>
    <definedName name="NR_AWAKE_MINDAY">S5_Calc_Weekly!$H$9</definedName>
    <definedName name="NR_AWAKE_RANGE">S5_Calc_Weekly!$E$9</definedName>
    <definedName name="NR_AWAKE_REF">S3_Config!$C$8</definedName>
    <definedName name="NR_AWAKE_SD">S5_Calc_Weekly!$F$9</definedName>
    <definedName name="NR_BED_AVG_DISP">S5_Calc_Weekly!$B$25</definedName>
    <definedName name="NR_BED_VERDICT">S5_Calc_Weekly!$B$32</definedName>
    <definedName name="NR_BEDSD">S5_Calc_Weekly!$B$24</definedName>
    <definedName name="NR_BEDSD_REF">S3_Config!$C$12</definedName>
    <definedName name="NR_BEST_BED">S5_Calc_Weekly!$D$65</definedName>
    <definedName name="NR_BEST_DAY">S5_Calc_Weekly!$B$65</definedName>
    <definedName name="NR_BEST_SE">S5_Calc_Weekly!$C$65</definedName>
    <definedName name="NR_BEST_WAKE">S5_Calc_Weekly!$E$65</definedName>
    <definedName name="NR_BMI">S2_Input_Profile!$B$11</definedName>
    <definedName name="NR_BMR">S2_Input_Profile!$B$12</definedName>
    <definedName name="NR_DEEPPCT_AVG">S5_Calc_Weekly!$B$16</definedName>
    <definedName name="NR_DEEPPCT_MAX">S5_Calc_Weekly!$D$16</definedName>
    <definedName name="NR_DEEPPCT_MAXDAY">S5_Calc_Weekly!$G$16</definedName>
    <definedName name="NR_DEEPPCT_MIN">S5_Calc_Weekly!$C$16</definedName>
    <definedName name="NR_DEEPPCT_MINDAY">S5_Calc_Weekly!$H$16</definedName>
    <definedName name="NR_DEEPPCT_RANGE">S5_Calc_Weekly!$E$16</definedName>
    <definedName name="NR_DEEPPCT_SD">S5_Calc_Weekly!$F$16</definedName>
    <definedName name="NR_DEV_HR">S3_Config!$B$16</definedName>
    <definedName name="NR_DEV_RR">S3_Config!$B$17</definedName>
    <definedName name="NR_DEV_SPO2">S3_Config!$B$18</definedName>
    <definedName name="NR_GENDER">S2_Input_Profile!$B$6</definedName>
    <definedName name="NR_HEIGHT">S2_Input_Profile!$B$9</definedName>
    <definedName name="NR_HIGH_N">S5_Calc_Weekly!$B$56</definedName>
    <definedName name="NR_HIGH_SE">S5_Calc_Weekly!$C$56</definedName>
    <definedName name="NR_HR_AVG">S5_Calc_Weekly!$B$10</definedName>
    <definedName name="NR_HR_MAX">S5_Calc_Weekly!$D$10</definedName>
    <definedName name="NR_HR_MAXDAY">S5_Calc_Weekly!$G$10</definedName>
    <definedName name="NR_HR_MIN">S5_Calc_Weekly!$C$10</definedName>
    <definedName name="NR_HR_MINDAY">S5_Calc_Weekly!$H$10</definedName>
    <definedName name="NR_HR_RANGE">S5_Calc_Weekly!$E$10</definedName>
    <definedName name="NR_HR_REF_MAX">S3_Config!$C$9</definedName>
    <definedName name="NR_HR_REF_MIN">S3_Config!$B$9</definedName>
    <definedName name="NR_HR_SD">S5_Calc_Weekly!$F$10</definedName>
    <definedName name="NR_KCAL_AVG">S5_Calc_Weekly!$B$14</definedName>
    <definedName name="NR_KCAL_DIFF">S5_Calc_Weekly!$B$77</definedName>
    <definedName name="NR_KCAL_MAX">S5_Calc_Weekly!$D$14</definedName>
    <definedName name="NR_KCAL_MAXDAY">S5_Calc_Weekly!$G$14</definedName>
    <definedName name="NR_KCAL_MIN">S5_Calc_Weekly!$C$14</definedName>
    <definedName name="NR_KCAL_MINDAY">S5_Calc_Weekly!$H$14</definedName>
    <definedName name="NR_KCAL_RANGE">S5_Calc_Weekly!$E$14</definedName>
    <definedName name="NR_KCAL_SD">S5_Calc_Weekly!$F$14</definedName>
    <definedName name="NR_LIGHTPCT_AVG">S5_Calc_Weekly!$B$17</definedName>
    <definedName name="NR_LIGHTPCT_MAX">S5_Calc_Weekly!$D$17</definedName>
    <definedName name="NR_LIGHTPCT_MAXDAY">S5_Calc_Weekly!$G$17</definedName>
    <definedName name="NR_LIGHTPCT_MIN">S5_Calc_Weekly!$C$17</definedName>
    <definedName name="NR_LIGHTPCT_MINDAY">S5_Calc_Weekly!$H$17</definedName>
    <definedName name="NR_LIGHTPCT_RANGE">S5_Calc_Weekly!$E$17</definedName>
    <definedName name="NR_LIGHTPCT_SD">S5_Calc_Weekly!$F$17</definedName>
    <definedName name="NR_LOW_N">S5_Calc_Weekly!$B$54</definedName>
    <definedName name="NR_LOW_SE">S5_Calc_Weekly!$C$54</definedName>
    <definedName name="NR_MET">S3_Config!$B$19</definedName>
    <definedName name="NR_MID_N">S5_Calc_Weekly!$B$55</definedName>
    <definedName name="NR_MID_SE">S5_Calc_Weekly!$C$55</definedName>
    <definedName name="NR_MONITORED_DAYS">S5_Calc_Weekly!$B$83</definedName>
    <definedName name="NR_R_ACT_KCAL">S5_Calc_Weekly!$B$42</definedName>
    <definedName name="NR_R_ACT_SE">S5_Calc_Weekly!$B$38</definedName>
    <definedName name="NR_R_ACT_SOL">S5_Calc_Weekly!$B$37</definedName>
    <definedName name="NR_R_AWAKE_DUR">S5_Calc_Weekly!$B$44</definedName>
    <definedName name="NR_R_DUR_SE">S5_Calc_Weekly!$B$45</definedName>
    <definedName name="NR_R_DUR_TST">S5_Calc_Weekly!$B$46</definedName>
    <definedName name="NR_R_HR_RR">S5_Calc_Weekly!$B$39</definedName>
    <definedName name="NR_R_HR_SPO2">S5_Calc_Weekly!$B$40</definedName>
    <definedName name="NR_R_LAG_VITAL">S5_Calc_Weekly!$B$43</definedName>
    <definedName name="NR_R_RR_SPO2">S5_Calc_Weekly!$B$41</definedName>
    <definedName name="NR_R_SOL_SE">S5_Calc_Weekly!$B$36</definedName>
    <definedName name="NR_REMPCT_AVG">S5_Calc_Weekly!$B$18</definedName>
    <definedName name="NR_REMPCT_MAX">S5_Calc_Weekly!$D$18</definedName>
    <definedName name="NR_REMPCT_MAXDAY">S5_Calc_Weekly!$G$18</definedName>
    <definedName name="NR_REMPCT_MIN">S5_Calc_Weekly!$C$18</definedName>
    <definedName name="NR_REMPCT_MINDAY">S5_Calc_Weekly!$H$18</definedName>
    <definedName name="NR_REMPCT_RANGE">S5_Calc_Weekly!$E$18</definedName>
    <definedName name="NR_REMPCT_SD">S5_Calc_Weekly!$F$18</definedName>
    <definedName name="NR_RR_AVG">S5_Calc_Weekly!$B$11</definedName>
    <definedName name="NR_RR_MAX">S5_Calc_Weekly!$D$11</definedName>
    <definedName name="NR_RR_MAXDAY">S5_Calc_Weekly!$G$11</definedName>
    <definedName name="NR_RR_MIN">S5_Calc_Weekly!$C$11</definedName>
    <definedName name="NR_RR_MINDAY">S5_Calc_Weekly!$H$11</definedName>
    <definedName name="NR_RR_RANGE">S5_Calc_Weekly!$E$11</definedName>
    <definedName name="NR_RR_REF_MAX">S3_Config!$C$10</definedName>
    <definedName name="NR_RR_REF_MIN">S3_Config!$B$10</definedName>
    <definedName name="NR_RR_SD">S5_Calc_Weekly!$F$11</definedName>
    <definedName name="NR_SE_AVG">S5_Calc_Weekly!$B$7</definedName>
    <definedName name="NR_SE_DEVICE_DAYS">S5_Calc_Weekly!$B$88</definedName>
    <definedName name="NR_SE_DIFF_AVG">S5_Calc_Weekly!$B$89</definedName>
    <definedName name="NR_SE_DIFF_FLAGGED">S5_Calc_Weekly!$B$90</definedName>
    <definedName name="NR_SE_DIFF_REF">S3_Config!$D$23</definedName>
    <definedName name="NR_SE_MAX">S5_Calc_Weekly!$D$7</definedName>
    <definedName name="NR_SE_MAXDAY">S5_Calc_Weekly!$G$7</definedName>
    <definedName name="NR_SE_MIN">S5_Calc_Weekly!$C$7</definedName>
    <definedName name="NR_SE_MINDAY">S5_Calc_Weekly!$H$7</definedName>
    <definedName name="NR_SE_RANGE">S5_Calc_Weekly!$E$7</definedName>
    <definedName name="NR_SE_REF">S3_Config!$B$6</definedName>
    <definedName name="NR_SE_SD">S5_Calc_Weekly!$F$7</definedName>
    <definedName name="NR_SLOPE_SE10">S5_Calc_Weekly!$B$48</definedName>
    <definedName name="NR_SLOPE_TST10">S5_Calc_Weekly!$B$50</definedName>
    <definedName name="NR_SOL_AVG">S5_Calc_Weekly!$B$8</definedName>
    <definedName name="NR_SOL_MAX">S5_Calc_Weekly!$D$8</definedName>
    <definedName name="NR_SOL_MAXDAY">S5_Calc_Weekly!$G$8</definedName>
    <definedName name="NR_SOL_MIN">S5_Calc_Weekly!$C$8</definedName>
    <definedName name="NR_SOL_MINDAY">S5_Calc_Weekly!$H$8</definedName>
    <definedName name="NR_SOL_RANGE">S5_Calc_Weekly!$E$8</definedName>
    <definedName name="NR_SOL_REF">S3_Config!$C$7</definedName>
    <definedName name="NR_SOL_SD">S5_Calc_Weekly!$F$8</definedName>
    <definedName name="NR_SPO2_AVG">S5_Calc_Weekly!$B$12</definedName>
    <definedName name="NR_SPO2_MAX">S5_Calc_Weekly!$D$12</definedName>
    <definedName name="NR_SPO2_MAXDAY">S5_Calc_Weekly!$G$12</definedName>
    <definedName name="NR_SPO2_MIN">S5_Calc_Weekly!$C$12</definedName>
    <definedName name="NR_SPO2_MINDAY">S5_Calc_Weekly!$H$12</definedName>
    <definedName name="NR_SPO2_RANGE">S5_Calc_Weekly!$E$12</definedName>
    <definedName name="NR_SPO2_REF">S3_Config!$B$11</definedName>
    <definedName name="NR_SPO2_SD">S5_Calc_Weekly!$F$12</definedName>
    <definedName name="NR_TARGET_BED_DISP">S5_Calc_Weekly!$B$31</definedName>
    <definedName name="NR_TARGET_SE">S3_Config!$D$21</definedName>
    <definedName name="NR_TARGET_SLEEP_HR">S3_Config!$D$20</definedName>
    <definedName name="NR_TDEE_AVG">S5_Calc_Weekly!$B$76</definedName>
    <definedName name="NR_TIB_QA_FLAGGED">S5_Calc_Weekly!$B$85</definedName>
    <definedName name="NR_TST_AVG">S5_Calc_Weekly!$B$6</definedName>
    <definedName name="NR_TST_MAX">S5_Calc_Weekly!$D$6</definedName>
    <definedName name="NR_TST_MAXDAY">S5_Calc_Weekly!$G$6</definedName>
    <definedName name="NR_TST_MAXDAY_DEEP">S5_Calc_Weekly!$C$60</definedName>
    <definedName name="NR_TST_MAXDAY_LIGHT">S5_Calc_Weekly!$D$60</definedName>
    <definedName name="NR_TST_MAXDAY_REM">S5_Calc_Weekly!$E$60</definedName>
    <definedName name="NR_TST_MIN">S5_Calc_Weekly!$C$6</definedName>
    <definedName name="NR_TST_MINDAY">S5_Calc_Weekly!$H$6</definedName>
    <definedName name="NR_TST_MINDAY_DEEP">S5_Calc_Weekly!$C$61</definedName>
    <definedName name="NR_TST_MINDAY_LIGHT">S5_Calc_Weekly!$D$61</definedName>
    <definedName name="NR_TST_MINDAY_REM">S5_Calc_Weekly!$E$61</definedName>
    <definedName name="NR_TST_RANGE">S5_Calc_Weekly!$E$6</definedName>
    <definedName name="NR_TST_REF_MAX">S3_Config!$C$5</definedName>
    <definedName name="NR_TST_REF_MIN">S3_Config!$B$5</definedName>
    <definedName name="NR_TST_SD">S5_Calc_Weekly!$F$6</definedName>
    <definedName name="NR_TST_TARGET">S3_Config!$D$5</definedName>
    <definedName name="NR_UNMONITORED_DAYS">S5_Calc_Weekly!$B$84</definedName>
    <definedName name="NR_VITAL_AVG">S5_Calc_Weekly!$B$15</definedName>
    <definedName name="NR_VITAL_MAX">S5_Calc_Weekly!$D$15</definedName>
    <definedName name="NR_VITAL_MAXDAY">S5_Calc_Weekly!$G$15</definedName>
    <definedName name="NR_VITAL_MIN">S5_Calc_Weekly!$C$15</definedName>
    <definedName name="NR_VITAL_MINDAY">S5_Calc_Weekly!$H$15</definedName>
    <definedName name="NR_VITAL_RANGE">S5_Calc_Weekly!$E$15</definedName>
    <definedName name="NR_VITAL_SD">S5_Calc_Weekly!$F$15</definedName>
    <definedName name="NR_WAKE_AVG_DISP">S5_Calc_Weekly!$B$28</definedName>
    <definedName name="NR_WAKE_DUR_CARD_BODY">S6_Text_Gen!$C$22</definedName>
    <definedName name="NR_WAKE_DUR_CARD_NOTE">S6_Text_Gen!$D$22</definedName>
    <definedName name="NR_WAKE_TOL">S3_Config!$D$22</definedName>
    <definedName name="NR_WAKE_VERDICT">S5_Calc_Weekly!$B$33</definedName>
    <definedName name="NR_WAKESD">S5_Calc_Weekly!$B$27</definedName>
    <definedName name="NR_WAKESD_REF">S3_Config!$C$13</definedName>
    <definedName name="NR_WASO_DEVICE_AVG">S5_Calc_Weekly!$B$19</definedName>
    <definedName name="NR_WASO_DEVICE_MAX">S5_Calc_Weekly!$D$19</definedName>
    <definedName name="NR_WASO_DEVICE_MAXDAY">S5_Calc_Weekly!$G$19</definedName>
    <definedName name="NR_WASO_DEVICE_MIN">S5_Calc_Weekly!$C$19</definedName>
    <definedName name="NR_WASO_DEVICE_MINDAY">S5_Calc_Weekly!$H$19</definedName>
    <definedName name="NR_WASO_DEVICE_RANGE">S5_Calc_Weekly!$E$19</definedName>
    <definedName name="NR_WASO_DEVICE_SD">S5_Calc_Weekly!$F$19</definedName>
    <definedName name="NR_WASO_QA_AVG">S5_Calc_Weekly!$B$80</definedName>
    <definedName name="NR_WEIGHT">S2_Input_Profile!$B$8</definedName>
    <definedName name="NR_WORST_BED">S5_Calc_Weekly!$D$66</definedName>
    <definedName name="NR_WORST_DAY">S5_Calc_Weekly!$B$66</definedName>
    <definedName name="NR_WORST_SE">S5_Calc_Weekly!$C$66</definedName>
    <definedName name="NR_WORST_WAKE">S5_Calc_Weekly!$E$66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7" l="1"/>
  <c r="E20" i="8" s="1"/>
  <c r="D19" i="7"/>
  <c r="E19" i="8" s="1"/>
  <c r="D18" i="7"/>
  <c r="E18" i="8" s="1"/>
  <c r="D16" i="7"/>
  <c r="E16" i="8" s="1"/>
  <c r="D15" i="7"/>
  <c r="E15" i="8" s="1"/>
  <c r="D14" i="7"/>
  <c r="E14" i="8" s="1"/>
  <c r="D12" i="7"/>
  <c r="E12" i="8" s="1"/>
  <c r="D11" i="7"/>
  <c r="E11" i="8" s="1"/>
  <c r="D10" i="7"/>
  <c r="E10" i="8" s="1"/>
  <c r="D9" i="7"/>
  <c r="E9" i="8" s="1"/>
  <c r="D8" i="7"/>
  <c r="E8" i="8" s="1"/>
  <c r="D7" i="7"/>
  <c r="E7" i="8" s="1"/>
  <c r="D6" i="7"/>
  <c r="E6" i="8" s="1"/>
  <c r="B29" i="6"/>
  <c r="AN11" i="5"/>
  <c r="AL11" i="5"/>
  <c r="AI11" i="5"/>
  <c r="U11" i="5"/>
  <c r="T11" i="5"/>
  <c r="S11" i="5"/>
  <c r="R11" i="5"/>
  <c r="Q11" i="5"/>
  <c r="P11" i="5"/>
  <c r="O11" i="5"/>
  <c r="N11" i="5"/>
  <c r="M11" i="5"/>
  <c r="L11" i="5"/>
  <c r="F11" i="5"/>
  <c r="D11" i="5"/>
  <c r="C11" i="5"/>
  <c r="B11" i="5"/>
  <c r="A11" i="5"/>
  <c r="AN10" i="5"/>
  <c r="AL10" i="5"/>
  <c r="AI10" i="5"/>
  <c r="U10" i="5"/>
  <c r="T10" i="5"/>
  <c r="S10" i="5"/>
  <c r="R10" i="5"/>
  <c r="Q10" i="5"/>
  <c r="P10" i="5"/>
  <c r="O10" i="5"/>
  <c r="N10" i="5"/>
  <c r="M10" i="5"/>
  <c r="L10" i="5"/>
  <c r="F10" i="5"/>
  <c r="D10" i="5"/>
  <c r="C10" i="5"/>
  <c r="B10" i="5"/>
  <c r="A10" i="5"/>
  <c r="AN9" i="5"/>
  <c r="AL9" i="5"/>
  <c r="AI9" i="5"/>
  <c r="U9" i="5"/>
  <c r="T9" i="5"/>
  <c r="S9" i="5"/>
  <c r="R9" i="5"/>
  <c r="Q9" i="5"/>
  <c r="P9" i="5"/>
  <c r="O9" i="5"/>
  <c r="N9" i="5"/>
  <c r="M9" i="5"/>
  <c r="L9" i="5"/>
  <c r="F9" i="5"/>
  <c r="D9" i="5"/>
  <c r="C9" i="5"/>
  <c r="B9" i="5"/>
  <c r="A9" i="5"/>
  <c r="AN8" i="5"/>
  <c r="AL8" i="5"/>
  <c r="AI8" i="5"/>
  <c r="U8" i="5"/>
  <c r="T8" i="5"/>
  <c r="S8" i="5"/>
  <c r="R8" i="5"/>
  <c r="Q8" i="5"/>
  <c r="P8" i="5"/>
  <c r="O8" i="5"/>
  <c r="N8" i="5"/>
  <c r="M8" i="5"/>
  <c r="L8" i="5"/>
  <c r="F8" i="5"/>
  <c r="D8" i="5"/>
  <c r="C8" i="5"/>
  <c r="B8" i="5"/>
  <c r="A8" i="5"/>
  <c r="AN7" i="5"/>
  <c r="AL7" i="5"/>
  <c r="AI7" i="5"/>
  <c r="U7" i="5"/>
  <c r="T7" i="5"/>
  <c r="S7" i="5"/>
  <c r="R7" i="5"/>
  <c r="Q7" i="5"/>
  <c r="P7" i="5"/>
  <c r="O7" i="5"/>
  <c r="N7" i="5"/>
  <c r="M7" i="5"/>
  <c r="L7" i="5"/>
  <c r="F7" i="5"/>
  <c r="D7" i="5"/>
  <c r="C7" i="5"/>
  <c r="B7" i="5"/>
  <c r="A7" i="5"/>
  <c r="AN6" i="5"/>
  <c r="AL6" i="5"/>
  <c r="AI6" i="5"/>
  <c r="U6" i="5"/>
  <c r="T6" i="5"/>
  <c r="S6" i="5"/>
  <c r="R6" i="5"/>
  <c r="Q6" i="5"/>
  <c r="P6" i="5"/>
  <c r="O6" i="5"/>
  <c r="N6" i="5"/>
  <c r="M6" i="5"/>
  <c r="L6" i="5"/>
  <c r="F6" i="5"/>
  <c r="D6" i="5"/>
  <c r="C6" i="5"/>
  <c r="B6" i="5"/>
  <c r="A6" i="5"/>
  <c r="AN5" i="5"/>
  <c r="AL5" i="5"/>
  <c r="B84" i="6" s="1"/>
  <c r="AI5" i="5"/>
  <c r="U5" i="5"/>
  <c r="T5" i="5"/>
  <c r="S5" i="5"/>
  <c r="R5" i="5"/>
  <c r="Q5" i="5"/>
  <c r="P5" i="5"/>
  <c r="O5" i="5"/>
  <c r="N5" i="5"/>
  <c r="M5" i="5"/>
  <c r="L5" i="5"/>
  <c r="F5" i="5"/>
  <c r="D5" i="5"/>
  <c r="C5" i="5"/>
  <c r="B5" i="5"/>
  <c r="A5" i="5"/>
  <c r="B12" i="3"/>
  <c r="B11" i="3"/>
  <c r="B74" i="6" s="1"/>
  <c r="B75" i="6" l="1"/>
  <c r="V11" i="5"/>
  <c r="V10" i="5"/>
  <c r="V9" i="5"/>
  <c r="V8" i="5"/>
  <c r="V7" i="5"/>
  <c r="V6" i="5"/>
  <c r="V5" i="5"/>
  <c r="B24" i="6"/>
  <c r="B23" i="6"/>
  <c r="B25" i="6" s="1"/>
  <c r="B27" i="6"/>
  <c r="B33" i="6" s="1"/>
  <c r="B26" i="6"/>
  <c r="E5" i="5"/>
  <c r="F6" i="6"/>
  <c r="D6" i="6"/>
  <c r="C6" i="6"/>
  <c r="H6" i="6" s="1"/>
  <c r="B61" i="6" s="1"/>
  <c r="B6" i="6"/>
  <c r="K5" i="5"/>
  <c r="J5" i="5"/>
  <c r="I5" i="5"/>
  <c r="H5" i="5"/>
  <c r="F8" i="6"/>
  <c r="D8" i="6"/>
  <c r="C8" i="6"/>
  <c r="H8" i="6" s="1"/>
  <c r="B8" i="6"/>
  <c r="F9" i="6"/>
  <c r="D9" i="6"/>
  <c r="C9" i="6"/>
  <c r="H9" i="6" s="1"/>
  <c r="B9" i="6"/>
  <c r="F10" i="6"/>
  <c r="D10" i="6"/>
  <c r="C10" i="6"/>
  <c r="H10" i="6" s="1"/>
  <c r="B10" i="6"/>
  <c r="AB5" i="5"/>
  <c r="F11" i="6"/>
  <c r="D11" i="6"/>
  <c r="C11" i="6"/>
  <c r="H11" i="6" s="1"/>
  <c r="B11" i="6"/>
  <c r="AC5" i="5"/>
  <c r="F12" i="6"/>
  <c r="D12" i="6"/>
  <c r="C12" i="6"/>
  <c r="H12" i="6" s="1"/>
  <c r="B12" i="6"/>
  <c r="AD11" i="5"/>
  <c r="AD10" i="5"/>
  <c r="AD9" i="5"/>
  <c r="AD8" i="5"/>
  <c r="AD7" i="5"/>
  <c r="AD6" i="5"/>
  <c r="AD5" i="5"/>
  <c r="F13" i="6"/>
  <c r="D13" i="6"/>
  <c r="C13" i="6"/>
  <c r="H13" i="6" s="1"/>
  <c r="B13" i="6"/>
  <c r="AF5" i="5"/>
  <c r="AA5" i="5"/>
  <c r="W5" i="5"/>
  <c r="F14" i="6"/>
  <c r="D14" i="6"/>
  <c r="C14" i="6"/>
  <c r="H14" i="6" s="1"/>
  <c r="B14" i="6"/>
  <c r="F15" i="6"/>
  <c r="D15" i="6"/>
  <c r="C15" i="6"/>
  <c r="H15" i="6" s="1"/>
  <c r="B15" i="6"/>
  <c r="AG5" i="5"/>
  <c r="F19" i="6"/>
  <c r="D19" i="6"/>
  <c r="C19" i="6"/>
  <c r="H19" i="6" s="1"/>
  <c r="B19" i="6"/>
  <c r="AJ5" i="5"/>
  <c r="B88" i="6"/>
  <c r="AQ5" i="5"/>
  <c r="AO5" i="5"/>
  <c r="E6" i="5"/>
  <c r="G6" i="5" s="1"/>
  <c r="AM6" i="5" s="1"/>
  <c r="K6" i="5"/>
  <c r="J6" i="5"/>
  <c r="I6" i="5"/>
  <c r="H6" i="5"/>
  <c r="AB6" i="5"/>
  <c r="AC6" i="5"/>
  <c r="AF6" i="5"/>
  <c r="AA6" i="5"/>
  <c r="W6" i="5"/>
  <c r="AG6" i="5"/>
  <c r="AK6" i="5"/>
  <c r="AJ6" i="5"/>
  <c r="AQ6" i="5"/>
  <c r="Z6" i="5" s="1"/>
  <c r="AO6" i="5"/>
  <c r="AP6" i="5" s="1"/>
  <c r="E7" i="5"/>
  <c r="G7" i="5" s="1"/>
  <c r="AM7" i="5" s="1"/>
  <c r="K7" i="5"/>
  <c r="J7" i="5"/>
  <c r="I7" i="5"/>
  <c r="H7" i="5"/>
  <c r="AB7" i="5"/>
  <c r="AC7" i="5"/>
  <c r="AF7" i="5"/>
  <c r="AA7" i="5"/>
  <c r="W7" i="5"/>
  <c r="AG7" i="5"/>
  <c r="AK7" i="5"/>
  <c r="AJ7" i="5"/>
  <c r="AQ7" i="5"/>
  <c r="Z7" i="5" s="1"/>
  <c r="AO7" i="5"/>
  <c r="AP7" i="5" s="1"/>
  <c r="E8" i="5"/>
  <c r="G8" i="5" s="1"/>
  <c r="AM8" i="5" s="1"/>
  <c r="K8" i="5"/>
  <c r="J8" i="5"/>
  <c r="I8" i="5"/>
  <c r="H8" i="5"/>
  <c r="AB8" i="5"/>
  <c r="AC8" i="5"/>
  <c r="AF8" i="5"/>
  <c r="AA8" i="5"/>
  <c r="W8" i="5"/>
  <c r="AG8" i="5"/>
  <c r="AK8" i="5"/>
  <c r="AJ8" i="5"/>
  <c r="AQ8" i="5"/>
  <c r="Z8" i="5" s="1"/>
  <c r="AO8" i="5"/>
  <c r="AP8" i="5" s="1"/>
  <c r="E9" i="5"/>
  <c r="G9" i="5" s="1"/>
  <c r="AM9" i="5" s="1"/>
  <c r="K9" i="5"/>
  <c r="J9" i="5"/>
  <c r="I9" i="5"/>
  <c r="H9" i="5"/>
  <c r="AB9" i="5"/>
  <c r="AC9" i="5"/>
  <c r="AF9" i="5"/>
  <c r="AA9" i="5"/>
  <c r="W9" i="5"/>
  <c r="AG9" i="5"/>
  <c r="AK9" i="5"/>
  <c r="AJ9" i="5"/>
  <c r="AQ9" i="5"/>
  <c r="Z9" i="5" s="1"/>
  <c r="AO9" i="5"/>
  <c r="AP9" i="5" s="1"/>
  <c r="E10" i="5"/>
  <c r="G10" i="5" s="1"/>
  <c r="AM10" i="5" s="1"/>
  <c r="K10" i="5"/>
  <c r="J10" i="5"/>
  <c r="I10" i="5"/>
  <c r="H10" i="5"/>
  <c r="AB10" i="5"/>
  <c r="AC10" i="5"/>
  <c r="AF10" i="5"/>
  <c r="AA10" i="5"/>
  <c r="W10" i="5"/>
  <c r="AG10" i="5"/>
  <c r="AK10" i="5"/>
  <c r="AJ10" i="5"/>
  <c r="AQ10" i="5"/>
  <c r="Z10" i="5" s="1"/>
  <c r="AO10" i="5"/>
  <c r="AP10" i="5" s="1"/>
  <c r="E11" i="5"/>
  <c r="G11" i="5" s="1"/>
  <c r="AM11" i="5" s="1"/>
  <c r="K11" i="5"/>
  <c r="J11" i="5"/>
  <c r="I11" i="5"/>
  <c r="H11" i="5"/>
  <c r="AB11" i="5"/>
  <c r="AC11" i="5"/>
  <c r="AF11" i="5"/>
  <c r="AA11" i="5"/>
  <c r="W11" i="5"/>
  <c r="AG11" i="5"/>
  <c r="AK11" i="5"/>
  <c r="AJ11" i="5"/>
  <c r="AQ11" i="5"/>
  <c r="Z11" i="5" s="1"/>
  <c r="AO11" i="5"/>
  <c r="AP11" i="5" s="1"/>
  <c r="AE11" i="5" l="1"/>
  <c r="AH11" i="5" s="1"/>
  <c r="AE10" i="5"/>
  <c r="AH10" i="5" s="1"/>
  <c r="AE9" i="5"/>
  <c r="AH9" i="5" s="1"/>
  <c r="AE8" i="5"/>
  <c r="AH8" i="5" s="1"/>
  <c r="AE7" i="5"/>
  <c r="AH7" i="5" s="1"/>
  <c r="AE6" i="5"/>
  <c r="AH6" i="5" s="1"/>
  <c r="B89" i="6"/>
  <c r="AP5" i="5"/>
  <c r="B90" i="6" s="1"/>
  <c r="F7" i="6"/>
  <c r="D7" i="6"/>
  <c r="C7" i="6"/>
  <c r="B7" i="6"/>
  <c r="Z5" i="5"/>
  <c r="F20" i="6"/>
  <c r="D20" i="6"/>
  <c r="C20" i="6"/>
  <c r="H20" i="6" s="1"/>
  <c r="B20" i="6"/>
  <c r="G19" i="6"/>
  <c r="E19" i="6"/>
  <c r="C16" i="8"/>
  <c r="G15" i="6"/>
  <c r="E15" i="6"/>
  <c r="G14" i="6"/>
  <c r="E14" i="6"/>
  <c r="D56" i="6"/>
  <c r="C56" i="6"/>
  <c r="D17" i="7" s="1"/>
  <c r="E17" i="8" s="1"/>
  <c r="B56" i="6"/>
  <c r="D55" i="6"/>
  <c r="C55" i="6"/>
  <c r="B55" i="6"/>
  <c r="D54" i="6"/>
  <c r="C54" i="6"/>
  <c r="B54" i="6"/>
  <c r="C14" i="8"/>
  <c r="G13" i="6"/>
  <c r="E13" i="6"/>
  <c r="C14" i="7" s="1"/>
  <c r="D14" i="8" s="1"/>
  <c r="C12" i="8"/>
  <c r="G12" i="6"/>
  <c r="E12" i="6"/>
  <c r="G11" i="6"/>
  <c r="E11" i="6"/>
  <c r="AE5" i="5"/>
  <c r="G10" i="6"/>
  <c r="C10" i="7" s="1"/>
  <c r="D10" i="8" s="1"/>
  <c r="E10" i="6"/>
  <c r="C8" i="8"/>
  <c r="G9" i="6"/>
  <c r="C8" i="7" s="1"/>
  <c r="D8" i="8" s="1"/>
  <c r="E9" i="6"/>
  <c r="G8" i="6"/>
  <c r="E8" i="6"/>
  <c r="C7" i="8" s="1"/>
  <c r="F16" i="6"/>
  <c r="D16" i="6"/>
  <c r="C16" i="6"/>
  <c r="H16" i="6" s="1"/>
  <c r="B16" i="6"/>
  <c r="F17" i="6"/>
  <c r="D17" i="6"/>
  <c r="C17" i="6"/>
  <c r="H17" i="6" s="1"/>
  <c r="B17" i="6"/>
  <c r="F18" i="6"/>
  <c r="D18" i="6"/>
  <c r="C18" i="6"/>
  <c r="H18" i="6" s="1"/>
  <c r="B18" i="6"/>
  <c r="D5" i="7"/>
  <c r="E5" i="8" s="1"/>
  <c r="E61" i="6"/>
  <c r="D61" i="6"/>
  <c r="C61" i="6"/>
  <c r="G6" i="6"/>
  <c r="E6" i="6"/>
  <c r="C5" i="8" s="1"/>
  <c r="B83" i="6"/>
  <c r="G5" i="5"/>
  <c r="B30" i="6"/>
  <c r="B31" i="6" s="1"/>
  <c r="B28" i="6"/>
  <c r="D13" i="7" s="1"/>
  <c r="E13" i="8" s="1"/>
  <c r="C13" i="8"/>
  <c r="B32" i="6"/>
  <c r="C13" i="7" s="1"/>
  <c r="D13" i="8" s="1"/>
  <c r="X5" i="5"/>
  <c r="X6" i="5"/>
  <c r="Y6" i="5" s="1"/>
  <c r="X7" i="5"/>
  <c r="Y7" i="5" s="1"/>
  <c r="X8" i="5"/>
  <c r="Y8" i="5" s="1"/>
  <c r="X9" i="5"/>
  <c r="Y9" i="5" s="1"/>
  <c r="X10" i="5"/>
  <c r="Y10" i="5" s="1"/>
  <c r="X11" i="5"/>
  <c r="Y11" i="5" s="1"/>
  <c r="B76" i="6" l="1"/>
  <c r="Y5" i="5"/>
  <c r="AM5" i="5"/>
  <c r="B85" i="6" s="1"/>
  <c r="AK5" i="5"/>
  <c r="B80" i="6" s="1"/>
  <c r="B60" i="6"/>
  <c r="G18" i="6"/>
  <c r="E18" i="6"/>
  <c r="G17" i="6"/>
  <c r="E17" i="6"/>
  <c r="G16" i="6"/>
  <c r="E16" i="6"/>
  <c r="B70" i="6"/>
  <c r="B69" i="6"/>
  <c r="AH5" i="5"/>
  <c r="B71" i="6" s="1"/>
  <c r="G20" i="6"/>
  <c r="E20" i="6"/>
  <c r="C66" i="6"/>
  <c r="H7" i="6"/>
  <c r="C65" i="6"/>
  <c r="G7" i="6"/>
  <c r="B65" i="6" s="1"/>
  <c r="E7" i="6"/>
  <c r="C6" i="8" s="1"/>
  <c r="E65" i="6" l="1"/>
  <c r="D65" i="6"/>
  <c r="B66" i="6"/>
  <c r="C6" i="7"/>
  <c r="D6" i="8" s="1"/>
  <c r="C18" i="8"/>
  <c r="C18" i="7"/>
  <c r="D18" i="8" s="1"/>
  <c r="E60" i="6"/>
  <c r="D60" i="6"/>
  <c r="C60" i="6"/>
  <c r="C5" i="7" s="1"/>
  <c r="D5" i="8" s="1"/>
  <c r="C15" i="8"/>
  <c r="B77" i="6"/>
  <c r="E66" i="6" l="1"/>
  <c r="D66" i="6"/>
  <c r="B49" i="6"/>
  <c r="B50" i="6"/>
  <c r="B47" i="6"/>
  <c r="B48" i="6"/>
  <c r="B46" i="6"/>
  <c r="B45" i="6"/>
  <c r="B44" i="6"/>
  <c r="B43" i="6"/>
  <c r="B42" i="6"/>
  <c r="C15" i="7"/>
  <c r="D15" i="8"/>
  <c r="B41" i="6"/>
  <c r="B40" i="6"/>
  <c r="B39" i="6"/>
  <c r="B38" i="6"/>
  <c r="B37" i="6"/>
  <c r="B36" i="6"/>
  <c r="C9" i="7"/>
  <c r="D9" i="8"/>
  <c r="C20" i="8"/>
  <c r="C16" i="7"/>
  <c r="D16" i="8"/>
  <c r="C12" i="7"/>
  <c r="D12" i="8"/>
  <c r="C11" i="8"/>
  <c r="C11" i="7"/>
  <c r="D11" i="8"/>
  <c r="C10" i="8"/>
  <c r="C7" i="7"/>
  <c r="D7" i="8"/>
  <c r="C9" i="8"/>
  <c r="C19" i="8"/>
  <c r="C19" i="7"/>
  <c r="D19" i="8"/>
  <c r="C22" i="7"/>
  <c r="D20" i="8"/>
  <c r="C17" i="8"/>
  <c r="C17" i="7"/>
  <c r="D17" i="8"/>
</calcChain>
</file>

<file path=xl/sharedStrings.xml><?xml version="1.0" encoding="utf-8"?>
<sst xmlns="http://schemas.openxmlformats.org/spreadsheetml/2006/main" count="362" uniqueCount="302">
  <si>
    <t>불면 중심 수면 리듬 진단 리포트 — 자동 계산 로직</t>
  </si>
  <si>
    <r>
      <rPr>
        <i/>
        <sz val="10"/>
        <color rgb="FF595959"/>
        <rFont val="Noto Sans CJK SC"/>
        <family val="2"/>
      </rPr>
      <t xml:space="preserve">웨어러블 원본 데이터를 입력하면 </t>
    </r>
    <r>
      <rPr>
        <i/>
        <sz val="10"/>
        <color rgb="FF595959"/>
        <rFont val="Arial"/>
        <charset val="1"/>
      </rPr>
      <t>18</t>
    </r>
    <r>
      <rPr>
        <i/>
        <sz val="10"/>
        <color rgb="FF595959"/>
        <rFont val="Noto Sans CJK SC"/>
        <family val="2"/>
      </rPr>
      <t>페이지 리포트에 들어가는 모든 수치</t>
    </r>
    <r>
      <rPr>
        <i/>
        <sz val="10"/>
        <color rgb="FF595959"/>
        <rFont val="Arial"/>
        <charset val="1"/>
      </rPr>
      <t>·</t>
    </r>
    <r>
      <rPr>
        <i/>
        <sz val="10"/>
        <color rgb="FF595959"/>
        <rFont val="Noto Sans CJK SC"/>
        <family val="2"/>
      </rPr>
      <t>판정</t>
    </r>
    <r>
      <rPr>
        <i/>
        <sz val="10"/>
        <color rgb="FF595959"/>
        <rFont val="Arial"/>
        <charset val="1"/>
      </rPr>
      <t>·</t>
    </r>
    <r>
      <rPr>
        <i/>
        <sz val="10"/>
        <color rgb="FF595959"/>
        <rFont val="Noto Sans CJK SC"/>
        <family val="2"/>
      </rPr>
      <t>문구 초안이 자동 계산됩니다</t>
    </r>
    <r>
      <rPr>
        <i/>
        <sz val="10"/>
        <color rgb="FF595959"/>
        <rFont val="Arial"/>
        <charset val="1"/>
      </rPr>
      <t>.</t>
    </r>
  </si>
  <si>
    <t>항목</t>
  </si>
  <si>
    <t>설명</t>
  </si>
  <si>
    <t>이 파일의 목적</t>
  </si>
  <si>
    <r>
      <rPr>
        <sz val="10"/>
        <rFont val="Arial"/>
        <charset val="1"/>
      </rPr>
      <t>S1(</t>
    </r>
    <r>
      <rPr>
        <sz val="10"/>
        <rFont val="Noto Sans CJK SC"/>
        <family val="2"/>
      </rPr>
      <t>원본 데이터</t>
    </r>
    <r>
      <rPr>
        <sz val="10"/>
        <rFont val="Arial"/>
        <charset val="1"/>
      </rPr>
      <t>)·S2(</t>
    </r>
    <r>
      <rPr>
        <sz val="10"/>
        <rFont val="Noto Sans CJK SC"/>
        <family val="2"/>
      </rPr>
      <t>개인 프로필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만 실제 값으로 바꿔 넣으면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나머지 시트가 리포트에 필요한 모든 숫자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참고범위 판정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상관관계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페이지별 문구 초안을 자동으로 다시 계산합니다</t>
    </r>
    <r>
      <rPr>
        <sz val="10"/>
        <rFont val="Arial"/>
        <charset val="1"/>
      </rPr>
      <t>.</t>
    </r>
  </si>
  <si>
    <t>시트 순서</t>
  </si>
  <si>
    <r>
      <rPr>
        <sz val="10"/>
        <rFont val="Arial"/>
        <charset val="1"/>
      </rPr>
      <t>S1_</t>
    </r>
    <r>
      <rPr>
        <sz val="10"/>
        <rFont val="Noto Sans CJK SC"/>
        <family val="2"/>
      </rPr>
      <t xml:space="preserve">원본데이터입력 → </t>
    </r>
    <r>
      <rPr>
        <sz val="10"/>
        <rFont val="Arial"/>
        <charset val="1"/>
      </rPr>
      <t>S2_</t>
    </r>
    <r>
      <rPr>
        <sz val="10"/>
        <rFont val="Noto Sans CJK SC"/>
        <family val="2"/>
      </rPr>
      <t xml:space="preserve">개인프로필입력 → </t>
    </r>
    <r>
      <rPr>
        <sz val="10"/>
        <rFont val="Arial"/>
        <charset val="1"/>
      </rPr>
      <t>S3_</t>
    </r>
    <r>
      <rPr>
        <sz val="10"/>
        <rFont val="Noto Sans CJK SC"/>
        <family val="2"/>
      </rPr>
      <t xml:space="preserve">참고범위설정 → </t>
    </r>
    <r>
      <rPr>
        <sz val="10"/>
        <rFont val="Arial"/>
        <charset val="1"/>
      </rPr>
      <t>S4_</t>
    </r>
    <r>
      <rPr>
        <sz val="10"/>
        <rFont val="Noto Sans CJK SC"/>
        <family val="2"/>
      </rPr>
      <t xml:space="preserve">일별계산 → </t>
    </r>
    <r>
      <rPr>
        <sz val="10"/>
        <rFont val="Arial"/>
        <charset val="1"/>
      </rPr>
      <t>S5_</t>
    </r>
    <r>
      <rPr>
        <sz val="10"/>
        <rFont val="Noto Sans CJK SC"/>
        <family val="2"/>
      </rPr>
      <t>주간요약</t>
    </r>
    <r>
      <rPr>
        <sz val="10"/>
        <rFont val="Arial"/>
        <charset val="1"/>
      </rPr>
      <t>_</t>
    </r>
    <r>
      <rPr>
        <sz val="10"/>
        <rFont val="Noto Sans CJK SC"/>
        <family val="2"/>
      </rPr>
      <t xml:space="preserve">상관관계 → </t>
    </r>
    <r>
      <rPr>
        <sz val="10"/>
        <rFont val="Arial"/>
        <charset val="1"/>
      </rPr>
      <t>S6_</t>
    </r>
    <r>
      <rPr>
        <sz val="10"/>
        <rFont val="Noto Sans CJK SC"/>
        <family val="2"/>
      </rPr>
      <t>페이지별</t>
    </r>
    <r>
      <rPr>
        <sz val="10"/>
        <rFont val="Arial"/>
        <charset val="1"/>
      </rPr>
      <t>_</t>
    </r>
    <r>
      <rPr>
        <sz val="10"/>
        <rFont val="Noto Sans CJK SC"/>
        <family val="2"/>
      </rPr>
      <t xml:space="preserve">문구초안 → </t>
    </r>
    <r>
      <rPr>
        <sz val="10"/>
        <rFont val="Arial"/>
        <charset val="1"/>
      </rPr>
      <t>S7_</t>
    </r>
    <r>
      <rPr>
        <sz val="10"/>
        <rFont val="Noto Sans CJK SC"/>
        <family val="2"/>
      </rPr>
      <t>리포트값</t>
    </r>
    <r>
      <rPr>
        <sz val="10"/>
        <rFont val="Arial"/>
        <charset val="1"/>
      </rPr>
      <t>_</t>
    </r>
    <r>
      <rPr>
        <sz val="10"/>
        <rFont val="Noto Sans CJK SC"/>
        <family val="2"/>
      </rPr>
      <t>요약</t>
    </r>
  </si>
  <si>
    <r>
      <rPr>
        <b/>
        <sz val="10"/>
        <color rgb="FF1F1F1F"/>
        <rFont val="Noto Sans CJK SC"/>
        <family val="2"/>
      </rPr>
      <t xml:space="preserve">사용자가 입력하는 시트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 xml:space="preserve">파란 글씨 </t>
    </r>
    <r>
      <rPr>
        <b/>
        <sz val="10"/>
        <color rgb="FF1F1F1F"/>
        <rFont val="Arial"/>
        <charset val="1"/>
      </rPr>
      <t xml:space="preserve">= </t>
    </r>
    <r>
      <rPr>
        <b/>
        <sz val="10"/>
        <color rgb="FF1F1F1F"/>
        <rFont val="Noto Sans CJK SC"/>
        <family val="2"/>
      </rPr>
      <t>입력 칸</t>
    </r>
    <r>
      <rPr>
        <b/>
        <sz val="10"/>
        <color rgb="FF1F1F1F"/>
        <rFont val="Arial"/>
        <charset val="1"/>
      </rPr>
      <t>)</t>
    </r>
  </si>
  <si>
    <r>
      <rPr>
        <sz val="10"/>
        <rFont val="Arial"/>
        <charset val="1"/>
      </rPr>
      <t>S1_</t>
    </r>
    <r>
      <rPr>
        <sz val="10"/>
        <rFont val="Noto Sans CJK SC"/>
        <family val="2"/>
      </rPr>
      <t xml:space="preserve">원본데이터입력 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요일별 원본값</t>
    </r>
    <r>
      <rPr>
        <sz val="10"/>
        <rFont val="Arial"/>
        <charset val="1"/>
      </rPr>
      <t>), S2_</t>
    </r>
    <r>
      <rPr>
        <sz val="10"/>
        <rFont val="Noto Sans CJK SC"/>
        <family val="2"/>
      </rPr>
      <t xml:space="preserve">개인프로필입력 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체중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키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나이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성별</t>
    </r>
    <r>
      <rPr>
        <sz val="10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</si>
  <si>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사용자가 조정 가능한 시트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 xml:space="preserve">노란 배경 </t>
    </r>
    <r>
      <rPr>
        <b/>
        <sz val="10"/>
        <color rgb="FF1F1F1F"/>
        <rFont val="Arial"/>
        <charset val="1"/>
      </rPr>
      <t xml:space="preserve">= </t>
    </r>
    <r>
      <rPr>
        <b/>
        <sz val="10"/>
        <color rgb="FF1F1F1F"/>
        <rFont val="Noto Sans CJK SC"/>
        <family val="2"/>
      </rPr>
      <t>조정 가능한 가정치</t>
    </r>
    <r>
      <rPr>
        <b/>
        <sz val="10"/>
        <color rgb="FF1F1F1F"/>
        <rFont val="Arial"/>
        <charset val="1"/>
      </rPr>
      <t>)</t>
    </r>
  </si>
  <si>
    <r>
      <rPr>
        <sz val="10"/>
        <rFont val="Arial"/>
        <charset val="1"/>
      </rPr>
      <t>S3_</t>
    </r>
    <r>
      <rPr>
        <sz val="10"/>
        <rFont val="Noto Sans CJK SC"/>
        <family val="2"/>
      </rPr>
      <t>참고범위설정 — 임상 참고범위는 의학적으로 정해진 값이지만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목표치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이상신호 편차기준</t>
    </r>
    <r>
      <rPr>
        <sz val="10"/>
        <rFont val="Arial"/>
        <charset val="1"/>
      </rPr>
      <t xml:space="preserve">·MET </t>
    </r>
    <r>
      <rPr>
        <sz val="10"/>
        <rFont val="Noto Sans CJK SC"/>
        <family val="2"/>
      </rPr>
      <t>가정 등은 상황에 맞게 바꿀 수 있도록 노란색으로 표시했습니다</t>
    </r>
    <r>
      <rPr>
        <sz val="10"/>
        <rFont val="Arial"/>
        <charset val="1"/>
      </rPr>
      <t>.</t>
    </r>
  </si>
  <si>
    <r>
      <rPr>
        <b/>
        <sz val="10"/>
        <color rgb="FF1F1F1F"/>
        <rFont val="Noto Sans CJK SC"/>
        <family val="2"/>
      </rPr>
      <t xml:space="preserve">자동 계산 시트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 xml:space="preserve">검정 글씨 </t>
    </r>
    <r>
      <rPr>
        <b/>
        <sz val="10"/>
        <color rgb="FF1F1F1F"/>
        <rFont val="Arial"/>
        <charset val="1"/>
      </rPr>
      <t xml:space="preserve">= </t>
    </r>
    <r>
      <rPr>
        <b/>
        <sz val="10"/>
        <color rgb="FF1F1F1F"/>
        <rFont val="Noto Sans CJK SC"/>
        <family val="2"/>
      </rPr>
      <t>수식</t>
    </r>
    <r>
      <rPr>
        <b/>
        <sz val="10"/>
        <color rgb="FF1F1F1F"/>
        <rFont val="Arial"/>
        <charset val="1"/>
      </rPr>
      <t xml:space="preserve">, </t>
    </r>
    <r>
      <rPr>
        <b/>
        <sz val="10"/>
        <color rgb="FF1F1F1F"/>
        <rFont val="Noto Sans CJK SC"/>
        <family val="2"/>
      </rPr>
      <t>직접 수정하지 마세요</t>
    </r>
    <r>
      <rPr>
        <b/>
        <sz val="10"/>
        <color rgb="FF1F1F1F"/>
        <rFont val="Arial"/>
        <charset val="1"/>
      </rPr>
      <t>)</t>
    </r>
  </si>
  <si>
    <r>
      <rPr>
        <sz val="10"/>
        <rFont val="Arial"/>
        <charset val="1"/>
      </rPr>
      <t>S4~S7</t>
    </r>
    <r>
      <rPr>
        <sz val="10"/>
        <rFont val="Noto Sans CJK SC"/>
        <family val="2"/>
      </rPr>
      <t>은 전부 수식입니다</t>
    </r>
    <r>
      <rPr>
        <sz val="10"/>
        <rFont val="Arial"/>
        <charset val="1"/>
      </rPr>
      <t xml:space="preserve">. S1·S2·S3 </t>
    </r>
    <r>
      <rPr>
        <sz val="10"/>
        <rFont val="Noto Sans CJK SC"/>
        <family val="2"/>
      </rPr>
      <t>값을 바꾸면 자동으로 갱신됩니다</t>
    </r>
    <r>
      <rPr>
        <sz val="10"/>
        <rFont val="Arial"/>
        <charset val="1"/>
      </rPr>
      <t>.</t>
    </r>
  </si>
  <si>
    <t>예시 데이터</t>
  </si>
  <si>
    <r>
      <rPr>
        <sz val="10"/>
        <rFont val="Noto Sans CJK SC"/>
        <family val="2"/>
      </rPr>
      <t xml:space="preserve">지금 </t>
    </r>
    <r>
      <rPr>
        <sz val="10"/>
        <rFont val="Arial"/>
        <charset val="1"/>
      </rPr>
      <t>S1·S2</t>
    </r>
    <r>
      <rPr>
        <sz val="10"/>
        <rFont val="Noto Sans CJK SC"/>
        <family val="2"/>
      </rPr>
      <t xml:space="preserve">에는 실제 발행된 </t>
    </r>
    <r>
      <rPr>
        <sz val="10"/>
        <rFont val="Arial"/>
        <charset val="1"/>
      </rPr>
      <t xml:space="preserve">9/8~9/14 </t>
    </r>
    <r>
      <rPr>
        <sz val="10"/>
        <rFont val="Noto Sans CJK SC"/>
        <family val="2"/>
      </rPr>
      <t>리포트</t>
    </r>
    <r>
      <rPr>
        <sz val="10"/>
        <rFont val="Arial"/>
        <charset val="1"/>
      </rPr>
      <t>(Version 61)</t>
    </r>
    <r>
      <rPr>
        <sz val="10"/>
        <rFont val="Noto Sans CJK SC"/>
        <family val="2"/>
      </rPr>
      <t>의 샘플 수치가 미리 채워져 있습니다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새 사람의 데이터를 넣을 때는 이 값을 지우고 실제 값으로 덮어쓰면 됩니다</t>
    </r>
    <r>
      <rPr>
        <sz val="10"/>
        <rFont val="Arial"/>
        <charset val="1"/>
      </rPr>
      <t>.</t>
    </r>
  </si>
  <si>
    <t>완전히 재현되지 않는 항목</t>
  </si>
  <si>
    <r>
      <rPr>
        <sz val="10"/>
        <rFont val="Noto Sans CJK SC"/>
        <family val="2"/>
      </rPr>
      <t>리포트 원문 중 일부 문장</t>
    </r>
    <r>
      <rPr>
        <sz val="10"/>
        <rFont val="Arial"/>
        <charset val="1"/>
      </rPr>
      <t xml:space="preserve">(16p </t>
    </r>
    <r>
      <rPr>
        <sz val="10"/>
        <rFont val="Noto Sans CJK SC"/>
        <family val="2"/>
      </rPr>
      <t xml:space="preserve">활동 </t>
    </r>
    <r>
      <rPr>
        <sz val="10"/>
        <rFont val="Arial"/>
        <charset val="1"/>
      </rPr>
      <t>3</t>
    </r>
    <r>
      <rPr>
        <sz val="10"/>
        <rFont val="Noto Sans CJK SC"/>
        <family val="2"/>
      </rPr>
      <t xml:space="preserve">단계 평균 </t>
    </r>
    <r>
      <rPr>
        <sz val="10"/>
        <rFont val="Arial"/>
        <charset val="1"/>
      </rPr>
      <t>SE 71/80/84%, 18p '</t>
    </r>
    <r>
      <rPr>
        <sz val="10"/>
        <rFont val="Noto Sans CJK SC"/>
        <family val="2"/>
      </rPr>
      <t xml:space="preserve">활동 </t>
    </r>
    <r>
      <rPr>
        <sz val="10"/>
        <rFont val="Arial"/>
        <charset val="1"/>
      </rPr>
      <t>58</t>
    </r>
    <r>
      <rPr>
        <sz val="10"/>
        <rFont val="Noto Sans CJK SC"/>
        <family val="2"/>
      </rPr>
      <t>분 이상→</t>
    </r>
    <r>
      <rPr>
        <sz val="10"/>
        <rFont val="Arial"/>
        <charset val="1"/>
      </rPr>
      <t>SE 84%')</t>
    </r>
    <r>
      <rPr>
        <sz val="10"/>
        <rFont val="Noto Sans CJK SC"/>
        <family val="2"/>
      </rPr>
      <t>은 원문 작성 시 반올림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서술적 요약이 섞여 있어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이 파일의 실제 그룹 평균 수식 결과와 소수점 단위로 다를 수 있습니다</t>
    </r>
    <r>
      <rPr>
        <sz val="10"/>
        <rFont val="Arial"/>
        <charset val="1"/>
      </rPr>
      <t>. S6·S7</t>
    </r>
    <r>
      <rPr>
        <sz val="10"/>
        <rFont val="Noto Sans CJK SC"/>
        <family val="2"/>
      </rPr>
      <t>에는 실제 수식 계산값이 표시되며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이는 원문보다 더 정확한 값입니다</t>
    </r>
    <r>
      <rPr>
        <sz val="10"/>
        <rFont val="Arial"/>
        <charset val="1"/>
      </rPr>
      <t>.</t>
    </r>
  </si>
  <si>
    <r>
      <rPr>
        <b/>
        <sz val="10"/>
        <color rgb="FF1F1F1F"/>
        <rFont val="Arial"/>
        <charset val="1"/>
      </rPr>
      <t>BMR/</t>
    </r>
    <r>
      <rPr>
        <b/>
        <sz val="10"/>
        <color rgb="FF1F1F1F"/>
        <rFont val="Noto Sans CJK SC"/>
        <family val="2"/>
      </rPr>
      <t>칼로리 추정 관련 주의</t>
    </r>
  </si>
  <si>
    <r>
      <rPr>
        <sz val="10"/>
        <rFont val="Noto Sans CJK SC"/>
        <family val="2"/>
      </rPr>
      <t>샤오미 등 웨어러블 제조사는 정확한 칼로리 산출 알고리즘을 공개하지 않습니다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이 파일의 </t>
    </r>
    <r>
      <rPr>
        <sz val="10"/>
        <rFont val="Arial"/>
        <charset val="1"/>
      </rPr>
      <t>BMR·</t>
    </r>
    <r>
      <rPr>
        <sz val="10"/>
        <rFont val="Noto Sans CJK SC"/>
        <family val="2"/>
      </rPr>
      <t>추정 소모칼로리는 표준 공식</t>
    </r>
    <r>
      <rPr>
        <sz val="10"/>
        <rFont val="Arial"/>
        <charset val="1"/>
      </rPr>
      <t>(Mifflin-St Jeor)</t>
    </r>
    <r>
      <rPr>
        <sz val="10"/>
        <rFont val="Noto Sans CJK SC"/>
        <family val="2"/>
      </rPr>
      <t>과 활동시간</t>
    </r>
    <r>
      <rPr>
        <sz val="10"/>
        <rFont val="Arial"/>
        <charset val="1"/>
      </rPr>
      <t xml:space="preserve">×MET </t>
    </r>
    <r>
      <rPr>
        <sz val="10"/>
        <rFont val="Noto Sans CJK SC"/>
        <family val="2"/>
      </rPr>
      <t xml:space="preserve">가정치로 만든 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참고용 추정치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이며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기기 표시값과 정확히 일치하지 않을 수 있습니다</t>
    </r>
    <r>
      <rPr>
        <sz val="10"/>
        <rFont val="Arial"/>
        <charset val="1"/>
      </rPr>
      <t>.</t>
    </r>
  </si>
  <si>
    <t>이상신호 스크리닝 기준</t>
  </si>
  <si>
    <r>
      <rPr>
        <sz val="10"/>
        <rFont val="Arial"/>
        <charset val="1"/>
      </rPr>
      <t>'</t>
    </r>
    <r>
      <rPr>
        <sz val="10"/>
        <rFont val="Noto Sans CJK SC"/>
        <family val="2"/>
      </rPr>
      <t>심박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호흡</t>
    </r>
    <r>
      <rPr>
        <sz val="10"/>
        <rFont val="Arial"/>
        <charset val="1"/>
      </rPr>
      <t>·SpO2</t>
    </r>
    <r>
      <rPr>
        <sz val="10"/>
        <rFont val="Noto Sans CJK SC"/>
        <family val="2"/>
      </rPr>
      <t>가 같은 날 동시에 평소 대비 벗어났는지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를 판정하는 편차기준</t>
    </r>
    <r>
      <rPr>
        <sz val="10"/>
        <rFont val="Arial"/>
        <charset val="1"/>
      </rPr>
      <t>(S3 13~15</t>
    </r>
    <r>
      <rPr>
        <sz val="10"/>
        <rFont val="Noto Sans CJK SC"/>
        <family val="2"/>
      </rPr>
      <t>행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은 원문 리포트에 정확한 수치가 공개되어 있지 않아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이 파일에서 합리적 기본값</t>
    </r>
    <r>
      <rPr>
        <sz val="10"/>
        <rFont val="Arial"/>
        <charset val="1"/>
      </rPr>
      <t>(HR +8bpm / RR +2</t>
    </r>
    <r>
      <rPr>
        <sz val="10"/>
        <rFont val="Noto Sans CJK SC"/>
        <family val="2"/>
      </rPr>
      <t xml:space="preserve">회 </t>
    </r>
    <r>
      <rPr>
        <sz val="10"/>
        <rFont val="Arial"/>
        <charset val="1"/>
      </rPr>
      <t>/ SpO2 -2%p)</t>
    </r>
    <r>
      <rPr>
        <sz val="10"/>
        <rFont val="Noto Sans CJK SC"/>
        <family val="2"/>
      </rPr>
      <t>으로 가정했습니다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필요시 조정하세요</t>
    </r>
    <r>
      <rPr>
        <sz val="10"/>
        <rFont val="Arial"/>
        <charset val="1"/>
      </rPr>
      <t>.</t>
    </r>
  </si>
  <si>
    <r>
      <rPr>
        <b/>
        <sz val="10"/>
        <color rgb="FF1F1F1F"/>
        <rFont val="Noto Sans CJK SC"/>
        <family val="2"/>
      </rPr>
      <t>각성시간</t>
    </r>
    <r>
      <rPr>
        <b/>
        <sz val="10"/>
        <color rgb="FF1F1F1F"/>
        <rFont val="Arial"/>
        <charset val="1"/>
      </rPr>
      <t>_</t>
    </r>
    <r>
      <rPr>
        <b/>
        <sz val="10"/>
        <color rgb="FF1F1F1F"/>
        <rFont val="Noto Sans CJK SC"/>
        <family val="2"/>
      </rPr>
      <t xml:space="preserve">실측 </t>
    </r>
    <r>
      <rPr>
        <b/>
        <sz val="10"/>
        <color rgb="FF1F1F1F"/>
        <rFont val="Arial"/>
        <charset val="1"/>
      </rPr>
      <t xml:space="preserve">(S1 </t>
    </r>
    <r>
      <rPr>
        <b/>
        <sz val="10"/>
        <color rgb="FF1F1F1F"/>
        <rFont val="Noto Sans CJK SC"/>
        <family val="2"/>
      </rPr>
      <t>마지막 열</t>
    </r>
    <r>
      <rPr>
        <b/>
        <sz val="10"/>
        <color rgb="FF1F1F1F"/>
        <rFont val="Arial"/>
        <charset val="1"/>
      </rPr>
      <t xml:space="preserve">, </t>
    </r>
    <r>
      <rPr>
        <b/>
        <sz val="10"/>
        <color rgb="FF1F1F1F"/>
        <rFont val="Noto Sans CJK SC"/>
        <family val="2"/>
      </rPr>
      <t>선택 입력</t>
    </r>
    <r>
      <rPr>
        <b/>
        <sz val="10"/>
        <color rgb="FF1F1F1F"/>
        <rFont val="Arial"/>
        <charset val="1"/>
      </rPr>
      <t>)</t>
    </r>
  </si>
  <si>
    <r>
      <rPr>
        <sz val="10"/>
        <rFont val="Noto Sans CJK SC"/>
        <family val="2"/>
      </rPr>
      <t xml:space="preserve">웨어러블이 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각성횟수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와 별도로 알려주는 밤사이 총 깨어있던 시간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분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입니다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입력하면 </t>
    </r>
    <r>
      <rPr>
        <sz val="10"/>
        <rFont val="Arial"/>
        <charset val="1"/>
      </rPr>
      <t>06</t>
    </r>
    <r>
      <rPr>
        <sz val="10"/>
        <rFont val="Noto Sans CJK SC"/>
        <family val="2"/>
      </rPr>
      <t xml:space="preserve">페이지에 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 xml:space="preserve">평균 </t>
    </r>
    <r>
      <rPr>
        <sz val="10"/>
        <rFont val="Arial"/>
        <charset val="1"/>
      </rPr>
      <t>1</t>
    </r>
    <r>
      <rPr>
        <sz val="10"/>
        <rFont val="Noto Sans CJK SC"/>
        <family val="2"/>
      </rPr>
      <t>회 각성 지속시간</t>
    </r>
    <r>
      <rPr>
        <sz val="10"/>
        <rFont val="Arial"/>
        <charset val="1"/>
      </rPr>
      <t xml:space="preserve">' </t>
    </r>
    <r>
      <rPr>
        <sz val="10"/>
        <rFont val="Noto Sans CJK SC"/>
        <family val="2"/>
      </rPr>
      <t>분석 카드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각성횟수와 지속시간이 서로 다른 정보를 담고 있는지 확인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가 자동 계산됩니다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비워두면 </t>
    </r>
    <r>
      <rPr>
        <sz val="10"/>
        <rFont val="Arial"/>
        <charset val="1"/>
      </rPr>
      <t>TIB−</t>
    </r>
    <r>
      <rPr>
        <sz val="10"/>
        <rFont val="Noto Sans CJK SC"/>
        <family val="2"/>
      </rPr>
      <t>입면잠복기−총수면시간의 잔차값으로 대체 추정하며</t>
    </r>
    <r>
      <rPr>
        <sz val="10"/>
        <rFont val="Arial"/>
        <charset val="1"/>
      </rPr>
      <t xml:space="preserve">, S5 '⑨ </t>
    </r>
    <r>
      <rPr>
        <sz val="10"/>
        <rFont val="Noto Sans CJK SC"/>
        <family val="2"/>
      </rPr>
      <t xml:space="preserve">각성 지속시간 </t>
    </r>
    <r>
      <rPr>
        <sz val="10"/>
        <rFont val="Arial"/>
        <charset val="1"/>
      </rPr>
      <t xml:space="preserve">QA' </t>
    </r>
    <r>
      <rPr>
        <sz val="10"/>
        <rFont val="Noto Sans CJK SC"/>
        <family val="2"/>
      </rPr>
      <t>행에서 실측값과 잔차값의 평균 차이를 확인할 수 있습니다</t>
    </r>
    <r>
      <rPr>
        <sz val="10"/>
        <rFont val="Arial"/>
        <charset val="1"/>
      </rPr>
      <t>.</t>
    </r>
  </si>
  <si>
    <r>
      <rPr>
        <b/>
        <sz val="10"/>
        <color rgb="FF1F1F1F"/>
        <rFont val="Noto Sans CJK SC"/>
        <family val="2"/>
      </rPr>
      <t>취침시각</t>
    </r>
    <r>
      <rPr>
        <b/>
        <sz val="10"/>
        <color rgb="FF1F1F1F"/>
        <rFont val="Arial"/>
        <charset val="1"/>
      </rPr>
      <t>·</t>
    </r>
    <r>
      <rPr>
        <b/>
        <sz val="10"/>
        <color rgb="FF1F1F1F"/>
        <rFont val="Noto Sans CJK SC"/>
        <family val="2"/>
      </rPr>
      <t>기상시각 → 침상시간</t>
    </r>
    <r>
      <rPr>
        <b/>
        <sz val="10"/>
        <color rgb="FF1F1F1F"/>
        <rFont val="Arial"/>
        <charset val="1"/>
      </rPr>
      <t xml:space="preserve">(TIB) </t>
    </r>
    <r>
      <rPr>
        <b/>
        <sz val="10"/>
        <color rgb="FF1F1F1F"/>
        <rFont val="Noto Sans CJK SC"/>
        <family val="2"/>
      </rPr>
      <t xml:space="preserve">자동계산 </t>
    </r>
    <r>
      <rPr>
        <b/>
        <sz val="10"/>
        <color rgb="FF1F1F1F"/>
        <rFont val="Arial"/>
        <charset val="1"/>
      </rPr>
      <t>(15</t>
    </r>
    <r>
      <rPr>
        <b/>
        <sz val="10"/>
        <color rgb="FF1F1F1F"/>
        <rFont val="Noto Sans CJK SC"/>
        <family val="2"/>
      </rPr>
      <t>차 확정</t>
    </r>
    <r>
      <rPr>
        <b/>
        <sz val="10"/>
        <color rgb="FF1F1F1F"/>
        <rFont val="Arial"/>
        <charset val="1"/>
      </rPr>
      <t>)</t>
    </r>
  </si>
  <si>
    <r>
      <rPr>
        <sz val="10"/>
        <rFont val="Noto Sans CJK SC"/>
        <family val="2"/>
      </rPr>
      <t>취침시각과 기상시각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둘 다 절대 시각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앱에 표시된 값 그대로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만 입력하면 침상시간</t>
    </r>
    <r>
      <rPr>
        <sz val="10"/>
        <rFont val="Arial"/>
        <charset val="1"/>
      </rPr>
      <t>(TIB)</t>
    </r>
    <r>
      <rPr>
        <sz val="10"/>
        <rFont val="Noto Sans CJK SC"/>
        <family val="2"/>
      </rPr>
      <t xml:space="preserve">은 </t>
    </r>
    <r>
      <rPr>
        <sz val="10"/>
        <rFont val="Arial"/>
        <charset val="1"/>
      </rPr>
      <t>S4</t>
    </r>
    <r>
      <rPr>
        <sz val="10"/>
        <rFont val="Noto Sans CJK SC"/>
        <family val="2"/>
      </rPr>
      <t>에서 자동으로 계산됩니다 — 직접 계산해서 넣을 필요가 없습니다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자정을 넘나드는 취침시각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예</t>
    </r>
    <r>
      <rPr>
        <sz val="10"/>
        <rFont val="Arial"/>
        <charset val="1"/>
      </rPr>
      <t>: 23:15)</t>
    </r>
    <r>
      <rPr>
        <sz val="10"/>
        <rFont val="Noto Sans CJK SC"/>
        <family val="2"/>
      </rPr>
      <t>도 그대로 입력하면 됩니다</t>
    </r>
    <r>
      <rPr>
        <sz val="10"/>
        <rFont val="Arial"/>
        <charset val="1"/>
      </rPr>
      <t>. 14</t>
    </r>
    <r>
      <rPr>
        <sz val="10"/>
        <rFont val="Noto Sans CJK SC"/>
        <family val="2"/>
      </rPr>
      <t xml:space="preserve">차 때 잠시 </t>
    </r>
    <r>
      <rPr>
        <sz val="10"/>
        <rFont val="Arial"/>
        <charset val="1"/>
      </rPr>
      <t>'TIB</t>
    </r>
    <r>
      <rPr>
        <sz val="10"/>
        <rFont val="Noto Sans CJK SC"/>
        <family val="2"/>
      </rPr>
      <t>를 분 단위로 직접 입력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하는 방식으로 바꿨었으나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 xml:space="preserve">실제로는 사용자가 매일 </t>
    </r>
    <r>
      <rPr>
        <sz val="10"/>
        <rFont val="Arial"/>
        <charset val="1"/>
      </rPr>
      <t>TIB</t>
    </r>
    <r>
      <rPr>
        <sz val="10"/>
        <rFont val="Noto Sans CJK SC"/>
        <family val="2"/>
      </rPr>
      <t xml:space="preserve">를 손으로 계산해 넣어야 해서 더 번거롭고 오입력 위험도 커 </t>
    </r>
    <r>
      <rPr>
        <sz val="10"/>
        <rFont val="Arial"/>
        <charset val="1"/>
      </rPr>
      <t>15</t>
    </r>
    <r>
      <rPr>
        <sz val="10"/>
        <rFont val="Noto Sans CJK SC"/>
        <family val="2"/>
      </rPr>
      <t>차에서 원래의 자동계산 방식으로 되돌렸습니다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대신 취침시각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입면잠복기</t>
    </r>
    <r>
      <rPr>
        <sz val="10"/>
        <rFont val="Arial"/>
        <charset val="1"/>
      </rPr>
      <t xml:space="preserve">(SOL) </t>
    </r>
    <r>
      <rPr>
        <sz val="10"/>
        <rFont val="Noto Sans CJK SC"/>
        <family val="2"/>
      </rPr>
      <t>칸에 있던 서식 버그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날짜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시각 서식이 잘못 적용되어 값이 이상하게 보이던 문제</t>
    </r>
    <r>
      <rPr>
        <sz val="10"/>
        <rFont val="Arial"/>
        <charset val="1"/>
      </rPr>
      <t>, 14</t>
    </r>
    <r>
      <rPr>
        <sz val="10"/>
        <rFont val="Noto Sans CJK SC"/>
        <family val="2"/>
      </rPr>
      <t>차에서 발견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는 그대로 고쳐진 상태로 유지됩니다</t>
    </r>
    <r>
      <rPr>
        <sz val="10"/>
        <rFont val="Arial"/>
        <charset val="1"/>
      </rPr>
      <t>.</t>
    </r>
  </si>
  <si>
    <r>
      <rPr>
        <b/>
        <sz val="10"/>
        <color rgb="FF1F1F1F"/>
        <rFont val="Noto Sans CJK SC"/>
        <family val="2"/>
      </rPr>
      <t xml:space="preserve">미모니터링 날짜 자동 제외 </t>
    </r>
    <r>
      <rPr>
        <b/>
        <sz val="10"/>
        <color rgb="FF1F1F1F"/>
        <rFont val="Arial"/>
        <charset val="1"/>
      </rPr>
      <t xml:space="preserve">+ TIB </t>
    </r>
    <r>
      <rPr>
        <b/>
        <sz val="10"/>
        <color rgb="FF1F1F1F"/>
        <rFont val="Noto Sans CJK SC"/>
        <family val="2"/>
      </rPr>
      <t xml:space="preserve">정합성 </t>
    </r>
    <r>
      <rPr>
        <b/>
        <sz val="10"/>
        <color rgb="FF1F1F1F"/>
        <rFont val="Arial"/>
        <charset val="1"/>
      </rPr>
      <t>QA (16</t>
    </r>
    <r>
      <rPr>
        <b/>
        <sz val="10"/>
        <color rgb="FF1F1F1F"/>
        <rFont val="Noto Sans CJK SC"/>
        <family val="2"/>
      </rPr>
      <t>차 신규</t>
    </r>
    <r>
      <rPr>
        <b/>
        <sz val="10"/>
        <color rgb="FF1F1F1F"/>
        <rFont val="Arial"/>
        <charset val="1"/>
      </rPr>
      <t>)</t>
    </r>
  </si>
  <si>
    <r>
      <rPr>
        <sz val="10"/>
        <rFont val="Arial"/>
        <charset val="1"/>
      </rPr>
      <t>S1</t>
    </r>
    <r>
      <rPr>
        <sz val="10"/>
        <rFont val="Noto Sans CJK SC"/>
        <family val="2"/>
      </rPr>
      <t>의 취침시각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기상시각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깊은수면</t>
    </r>
    <r>
      <rPr>
        <sz val="10"/>
        <rFont val="Arial"/>
        <charset val="1"/>
      </rPr>
      <t>_</t>
    </r>
    <r>
      <rPr>
        <sz val="10"/>
        <rFont val="Noto Sans CJK SC"/>
        <family val="2"/>
      </rPr>
      <t xml:space="preserve">분 중 하나라도 비어 있으면 그 날은 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미모니터링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 xml:space="preserve">으로 간주되어 </t>
    </r>
    <r>
      <rPr>
        <sz val="10"/>
        <rFont val="Arial"/>
        <charset val="1"/>
      </rPr>
      <t>S4</t>
    </r>
    <r>
      <rPr>
        <sz val="10"/>
        <rFont val="Noto Sans CJK SC"/>
        <family val="2"/>
      </rPr>
      <t xml:space="preserve">의 </t>
    </r>
    <r>
      <rPr>
        <sz val="10"/>
        <rFont val="Arial"/>
        <charset val="1"/>
      </rPr>
      <t>3~37</t>
    </r>
    <r>
      <rPr>
        <sz val="10"/>
        <rFont val="Noto Sans CJK SC"/>
        <family val="2"/>
      </rPr>
      <t>열이 전부 빈 값으로 계산되고</t>
    </r>
    <r>
      <rPr>
        <sz val="10"/>
        <rFont val="Arial"/>
        <charset val="1"/>
      </rPr>
      <t>, S5</t>
    </r>
    <r>
      <rPr>
        <sz val="10"/>
        <rFont val="Noto Sans CJK SC"/>
        <family val="2"/>
      </rPr>
      <t>의 모든 평균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표준편차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상관계수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회귀식은 실제 값이 있는 날짜 수만으로 자동 계산됩니다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예</t>
    </r>
    <r>
      <rPr>
        <sz val="10"/>
        <rFont val="Arial"/>
        <charset val="1"/>
      </rPr>
      <t>: 7</t>
    </r>
    <r>
      <rPr>
        <sz val="10"/>
        <rFont val="Noto Sans CJK SC"/>
        <family val="2"/>
      </rPr>
      <t xml:space="preserve">일 중 </t>
    </r>
    <r>
      <rPr>
        <sz val="10"/>
        <rFont val="Arial"/>
        <charset val="1"/>
      </rPr>
      <t>6</t>
    </r>
    <r>
      <rPr>
        <sz val="10"/>
        <rFont val="Noto Sans CJK SC"/>
        <family val="2"/>
      </rPr>
      <t xml:space="preserve">일만 모니터링됐으면 </t>
    </r>
    <r>
      <rPr>
        <sz val="10"/>
        <rFont val="Arial"/>
        <charset val="1"/>
      </rPr>
      <t>6</t>
    </r>
    <r>
      <rPr>
        <sz val="10"/>
        <rFont val="Noto Sans CJK SC"/>
        <family val="2"/>
      </rPr>
      <t>으로 나눔</t>
    </r>
    <r>
      <rPr>
        <sz val="10"/>
        <rFont val="Arial"/>
        <charset val="1"/>
      </rPr>
      <t xml:space="preserve">) — </t>
    </r>
    <r>
      <rPr>
        <sz val="10"/>
        <rFont val="Noto Sans CJK SC"/>
        <family val="2"/>
      </rPr>
      <t xml:space="preserve">항상 </t>
    </r>
    <r>
      <rPr>
        <sz val="10"/>
        <rFont val="Arial"/>
        <charset val="1"/>
      </rPr>
      <t>7</t>
    </r>
    <r>
      <rPr>
        <sz val="10"/>
        <rFont val="Noto Sans CJK SC"/>
        <family val="2"/>
      </rPr>
      <t>로 나누지 않습니다</t>
    </r>
    <r>
      <rPr>
        <sz val="10"/>
        <rFont val="Arial"/>
        <charset val="1"/>
      </rPr>
      <t xml:space="preserve">. S5 '⑩ </t>
    </r>
    <r>
      <rPr>
        <sz val="10"/>
        <rFont val="Noto Sans CJK SC"/>
        <family val="2"/>
      </rPr>
      <t>모니터링 요약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에서 모니터링된 일수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미모니터링 요일을 바로 확인할 수 있습니다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또한 수면효율이 </t>
    </r>
    <r>
      <rPr>
        <sz val="10"/>
        <rFont val="Arial"/>
        <charset val="1"/>
      </rPr>
      <t>100%</t>
    </r>
    <r>
      <rPr>
        <sz val="10"/>
        <rFont val="Noto Sans CJK SC"/>
        <family val="2"/>
      </rPr>
      <t>를 넘는 등 침상시간</t>
    </r>
    <r>
      <rPr>
        <sz val="10"/>
        <rFont val="Arial"/>
        <charset val="1"/>
      </rPr>
      <t>(TIB)</t>
    </r>
    <r>
      <rPr>
        <sz val="10"/>
        <rFont val="Noto Sans CJK SC"/>
        <family val="2"/>
      </rPr>
      <t>이 입면잠복기</t>
    </r>
    <r>
      <rPr>
        <sz val="10"/>
        <rFont val="Arial"/>
        <charset val="1"/>
      </rPr>
      <t>+</t>
    </r>
    <r>
      <rPr>
        <sz val="10"/>
        <rFont val="Noto Sans CJK SC"/>
        <family val="2"/>
      </rPr>
      <t xml:space="preserve">총수면시간보다 작아 생기는 데이터 불일치는 </t>
    </r>
    <r>
      <rPr>
        <sz val="10"/>
        <rFont val="Arial"/>
        <charset val="1"/>
      </rPr>
      <t>S4</t>
    </r>
    <r>
      <rPr>
        <sz val="10"/>
        <rFont val="Noto Sans CJK SC"/>
        <family val="2"/>
      </rPr>
      <t xml:space="preserve">의 </t>
    </r>
    <r>
      <rPr>
        <sz val="10"/>
        <rFont val="Arial"/>
        <charset val="1"/>
      </rPr>
      <t>'TIB_</t>
    </r>
    <r>
      <rPr>
        <sz val="10"/>
        <rFont val="Noto Sans CJK SC"/>
        <family val="2"/>
      </rPr>
      <t>정합성</t>
    </r>
    <r>
      <rPr>
        <sz val="10"/>
        <rFont val="Arial"/>
        <charset val="1"/>
      </rPr>
      <t xml:space="preserve">_QA' </t>
    </r>
    <r>
      <rPr>
        <sz val="10"/>
        <rFont val="Noto Sans CJK SC"/>
        <family val="2"/>
      </rPr>
      <t xml:space="preserve">열과 </t>
    </r>
    <r>
      <rPr>
        <sz val="10"/>
        <rFont val="Arial"/>
        <charset val="1"/>
      </rPr>
      <t>S5 '⑩'</t>
    </r>
    <r>
      <rPr>
        <sz val="10"/>
        <rFont val="Noto Sans CJK SC"/>
        <family val="2"/>
      </rPr>
      <t xml:space="preserve">의 </t>
    </r>
    <r>
      <rPr>
        <sz val="10"/>
        <rFont val="Arial"/>
        <charset val="1"/>
      </rPr>
      <t xml:space="preserve">'TIB </t>
    </r>
    <r>
      <rPr>
        <sz val="10"/>
        <rFont val="Noto Sans CJK SC"/>
        <family val="2"/>
      </rPr>
      <t>정합성 이상 요일 목록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에 자동으로 표시되므로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원인이 된 요일을 바로 찾아 취침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기상시각을 다시 확인하면 됩니다</t>
    </r>
    <r>
      <rPr>
        <sz val="10"/>
        <rFont val="Arial"/>
        <charset val="1"/>
      </rPr>
      <t>.</t>
    </r>
  </si>
  <si>
    <r>
      <rPr>
        <b/>
        <sz val="10"/>
        <color rgb="FF1F1F1F"/>
        <rFont val="Noto Sans CJK SC"/>
        <family val="2"/>
      </rPr>
      <t>수면효율</t>
    </r>
    <r>
      <rPr>
        <b/>
        <sz val="10"/>
        <color rgb="FF1F1F1F"/>
        <rFont val="Arial"/>
        <charset val="1"/>
      </rPr>
      <t>_</t>
    </r>
    <r>
      <rPr>
        <b/>
        <sz val="10"/>
        <color rgb="FF1F1F1F"/>
        <rFont val="Noto Sans CJK SC"/>
        <family val="2"/>
      </rPr>
      <t xml:space="preserve">기기값 </t>
    </r>
    <r>
      <rPr>
        <b/>
        <sz val="10"/>
        <color rgb="FF1F1F1F"/>
        <rFont val="Arial"/>
        <charset val="1"/>
      </rPr>
      <t xml:space="preserve">(S1 </t>
    </r>
    <r>
      <rPr>
        <b/>
        <sz val="10"/>
        <color rgb="FF1F1F1F"/>
        <rFont val="Noto Sans CJK SC"/>
        <family val="2"/>
      </rPr>
      <t>마지막 열</t>
    </r>
    <r>
      <rPr>
        <b/>
        <sz val="10"/>
        <color rgb="FF1F1F1F"/>
        <rFont val="Arial"/>
        <charset val="1"/>
      </rPr>
      <t xml:space="preserve">, </t>
    </r>
    <r>
      <rPr>
        <b/>
        <sz val="10"/>
        <color rgb="FF1F1F1F"/>
        <rFont val="Noto Sans CJK SC"/>
        <family val="2"/>
      </rPr>
      <t>선택 입력</t>
    </r>
    <r>
      <rPr>
        <b/>
        <sz val="10"/>
        <color rgb="FF1F1F1F"/>
        <rFont val="Arial"/>
        <charset val="1"/>
      </rPr>
      <t>, 17</t>
    </r>
    <r>
      <rPr>
        <b/>
        <sz val="10"/>
        <color rgb="FF1F1F1F"/>
        <rFont val="Noto Sans CJK SC"/>
        <family val="2"/>
      </rPr>
      <t>차 신규</t>
    </r>
    <r>
      <rPr>
        <b/>
        <sz val="10"/>
        <color rgb="FF1F1F1F"/>
        <rFont val="Arial"/>
        <charset val="1"/>
      </rPr>
      <t>)</t>
    </r>
  </si>
  <si>
    <r>
      <rPr>
        <sz val="10"/>
        <rFont val="Noto Sans CJK SC"/>
        <family val="2"/>
      </rPr>
      <t>웨어러블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예</t>
    </r>
    <r>
      <rPr>
        <sz val="10"/>
        <rFont val="Arial"/>
        <charset val="1"/>
      </rPr>
      <t xml:space="preserve">: </t>
    </r>
    <r>
      <rPr>
        <sz val="10"/>
        <rFont val="Noto Sans CJK SC"/>
        <family val="2"/>
      </rPr>
      <t>샤오미</t>
    </r>
    <r>
      <rPr>
        <sz val="10"/>
        <rFont val="Arial"/>
        <charset val="1"/>
      </rPr>
      <t xml:space="preserve">) </t>
    </r>
    <r>
      <rPr>
        <sz val="10"/>
        <rFont val="Noto Sans CJK SC"/>
        <family val="2"/>
      </rPr>
      <t>앱이 날짜별로 따로 제공하는 수면효율</t>
    </r>
    <r>
      <rPr>
        <sz val="10"/>
        <rFont val="Arial"/>
        <charset val="1"/>
      </rPr>
      <t>(%)</t>
    </r>
    <r>
      <rPr>
        <sz val="10"/>
        <rFont val="Noto Sans CJK SC"/>
        <family val="2"/>
      </rPr>
      <t>이 있으면 입력하세요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저희가 </t>
    </r>
    <r>
      <rPr>
        <sz val="10"/>
        <rFont val="Arial"/>
        <charset val="1"/>
      </rPr>
      <t>TST/TIB×100</t>
    </r>
    <r>
      <rPr>
        <sz val="10"/>
        <rFont val="Noto Sans CJK SC"/>
        <family val="2"/>
      </rPr>
      <t>으로 계산한 수면효율과 자동으로 비교해 그 차이</t>
    </r>
    <r>
      <rPr>
        <sz val="10"/>
        <rFont val="Arial"/>
        <charset val="1"/>
      </rPr>
      <t>(%p)</t>
    </r>
    <r>
      <rPr>
        <sz val="10"/>
        <rFont val="Noto Sans CJK SC"/>
        <family val="2"/>
      </rPr>
      <t xml:space="preserve">를 </t>
    </r>
    <r>
      <rPr>
        <sz val="10"/>
        <rFont val="Arial"/>
        <charset val="1"/>
      </rPr>
      <t>S4 '</t>
    </r>
    <r>
      <rPr>
        <sz val="10"/>
        <rFont val="Noto Sans CJK SC"/>
        <family val="2"/>
      </rPr>
      <t>계산</t>
    </r>
    <r>
      <rPr>
        <sz val="10"/>
        <rFont val="Arial"/>
        <charset val="1"/>
      </rPr>
      <t>-</t>
    </r>
    <r>
      <rPr>
        <sz val="10"/>
        <rFont val="Noto Sans CJK SC"/>
        <family val="2"/>
      </rPr>
      <t>기기값</t>
    </r>
    <r>
      <rPr>
        <sz val="10"/>
        <rFont val="Arial"/>
        <charset val="1"/>
      </rPr>
      <t>_SE</t>
    </r>
    <r>
      <rPr>
        <sz val="10"/>
        <rFont val="Noto Sans CJK SC"/>
        <family val="2"/>
      </rPr>
      <t>차이</t>
    </r>
    <r>
      <rPr>
        <sz val="10"/>
        <rFont val="Arial"/>
        <charset val="1"/>
      </rPr>
      <t xml:space="preserve">_%p' </t>
    </r>
    <r>
      <rPr>
        <sz val="10"/>
        <rFont val="Noto Sans CJK SC"/>
        <family val="2"/>
      </rPr>
      <t>열에 보여주고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 xml:space="preserve">차이가 </t>
    </r>
    <r>
      <rPr>
        <sz val="10"/>
        <rFont val="Arial"/>
        <charset val="1"/>
      </rPr>
      <t>S3</t>
    </r>
    <r>
      <rPr>
        <sz val="10"/>
        <rFont val="Noto Sans CJK SC"/>
        <family val="2"/>
      </rPr>
      <t>의 허용기준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 xml:space="preserve">기본 </t>
    </r>
    <r>
      <rPr>
        <sz val="10"/>
        <rFont val="Arial"/>
        <charset val="1"/>
      </rPr>
      <t xml:space="preserve">5%p, </t>
    </r>
    <r>
      <rPr>
        <sz val="10"/>
        <rFont val="Noto Sans CJK SC"/>
        <family val="2"/>
      </rPr>
      <t>조정 가능</t>
    </r>
    <r>
      <rPr>
        <sz val="10"/>
        <rFont val="Arial"/>
        <charset val="1"/>
      </rPr>
      <t xml:space="preserve">) </t>
    </r>
    <r>
      <rPr>
        <sz val="10"/>
        <rFont val="Noto Sans CJK SC"/>
        <family val="2"/>
      </rPr>
      <t xml:space="preserve">이상이면 </t>
    </r>
    <r>
      <rPr>
        <sz val="10"/>
        <rFont val="Arial"/>
        <charset val="1"/>
      </rPr>
      <t>'SE_</t>
    </r>
    <r>
      <rPr>
        <sz val="10"/>
        <rFont val="Noto Sans CJK SC"/>
        <family val="2"/>
      </rPr>
      <t>비교</t>
    </r>
    <r>
      <rPr>
        <sz val="10"/>
        <rFont val="Arial"/>
        <charset val="1"/>
      </rPr>
      <t xml:space="preserve">_QA' </t>
    </r>
    <r>
      <rPr>
        <sz val="10"/>
        <rFont val="Noto Sans CJK SC"/>
        <family val="2"/>
      </rPr>
      <t>열에 표시합니다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샤오미가 공개한 계산식도 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실제수면시간</t>
    </r>
    <r>
      <rPr>
        <sz val="10"/>
        <rFont val="Arial"/>
        <charset val="1"/>
      </rPr>
      <t>÷</t>
    </r>
    <r>
      <rPr>
        <sz val="10"/>
        <rFont val="Noto Sans CJK SC"/>
        <family val="2"/>
      </rPr>
      <t>침대에있던시간</t>
    </r>
    <r>
      <rPr>
        <sz val="10"/>
        <rFont val="Arial"/>
        <charset val="1"/>
      </rPr>
      <t>)×100</t>
    </r>
    <r>
      <rPr>
        <sz val="10"/>
        <rFont val="Noto Sans CJK SC"/>
        <family val="2"/>
      </rPr>
      <t>으로 저희 공식과 완전히 동일함을 확인했습니다</t>
    </r>
    <r>
      <rPr>
        <sz val="10"/>
        <rFont val="Arial"/>
        <charset val="1"/>
      </rPr>
      <t>(18</t>
    </r>
    <r>
      <rPr>
        <sz val="10"/>
        <rFont val="Noto Sans CJK SC"/>
        <family val="2"/>
      </rPr>
      <t>차</t>
    </r>
    <r>
      <rPr>
        <sz val="10"/>
        <rFont val="Arial"/>
        <charset val="1"/>
      </rPr>
      <t xml:space="preserve">) — </t>
    </r>
    <r>
      <rPr>
        <sz val="10"/>
        <rFont val="Noto Sans CJK SC"/>
        <family val="2"/>
      </rPr>
      <t>즉 계산식이 달라서 값이 다른 게 아니라</t>
    </r>
    <r>
      <rPr>
        <sz val="10"/>
        <rFont val="Arial"/>
        <charset val="1"/>
      </rPr>
      <t>, '</t>
    </r>
    <r>
      <rPr>
        <sz val="10"/>
        <rFont val="Noto Sans CJK SC"/>
        <family val="2"/>
      </rPr>
      <t>침대에 있던 시간</t>
    </r>
    <r>
      <rPr>
        <sz val="10"/>
        <rFont val="Arial"/>
        <charset val="1"/>
      </rPr>
      <t>(TIB)'</t>
    </r>
    <r>
      <rPr>
        <sz val="10"/>
        <rFont val="Noto Sans CJK SC"/>
        <family val="2"/>
      </rPr>
      <t>을 구하는 방법이 다른 것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저희는 사용자가 입력한 취침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 xml:space="preserve">기상시각으로 계산 </t>
    </r>
    <r>
      <rPr>
        <sz val="10"/>
        <rFont val="Arial"/>
        <charset val="1"/>
      </rPr>
      <t xml:space="preserve">/ </t>
    </r>
    <r>
      <rPr>
        <sz val="10"/>
        <rFont val="Noto Sans CJK SC"/>
        <family val="2"/>
      </rPr>
      <t xml:space="preserve">기기는 가속도계로 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움직임이 없는 구간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을 자동 감지해 스스로 판정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예</t>
    </r>
    <r>
      <rPr>
        <sz val="10"/>
        <rFont val="Arial"/>
        <charset val="1"/>
      </rPr>
      <t xml:space="preserve">: </t>
    </r>
    <r>
      <rPr>
        <sz val="10"/>
        <rFont val="Noto Sans CJK SC"/>
        <family val="2"/>
      </rPr>
      <t>누워서 폰을 보면 잠든 것으로 오판 가능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이 유일한 차이 원인입니다</t>
    </r>
    <r>
      <rPr>
        <sz val="10"/>
        <rFont val="Arial"/>
        <charset val="1"/>
      </rPr>
      <t>. S5 '⑪'</t>
    </r>
    <r>
      <rPr>
        <sz val="10"/>
        <rFont val="Noto Sans CJK SC"/>
        <family val="2"/>
      </rPr>
      <t>에서 차이가 큰 요일만 골라 확인할 수 있습니다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비워두면 비교하지 않습니다</t>
    </r>
    <r>
      <rPr>
        <sz val="10"/>
        <rFont val="Arial"/>
        <charset val="1"/>
      </rPr>
      <t>.</t>
    </r>
  </si>
  <si>
    <r>
      <rPr>
        <b/>
        <sz val="10"/>
        <color rgb="FF1F1F1F"/>
        <rFont val="Noto Sans CJK SC"/>
        <family val="2"/>
      </rPr>
      <t xml:space="preserve">샤오미 수면효율 공식 확인 </t>
    </r>
    <r>
      <rPr>
        <b/>
        <sz val="10"/>
        <color rgb="FF1F1F1F"/>
        <rFont val="Arial"/>
        <charset val="1"/>
      </rPr>
      <t>(18</t>
    </r>
    <r>
      <rPr>
        <b/>
        <sz val="10"/>
        <color rgb="FF1F1F1F"/>
        <rFont val="Noto Sans CJK SC"/>
        <family val="2"/>
      </rPr>
      <t>차</t>
    </r>
    <r>
      <rPr>
        <b/>
        <sz val="10"/>
        <color rgb="FF1F1F1F"/>
        <rFont val="Arial"/>
        <charset val="1"/>
      </rPr>
      <t>)</t>
    </r>
  </si>
  <si>
    <r>
      <rPr>
        <sz val="10"/>
        <rFont val="Noto Sans CJK SC"/>
        <family val="2"/>
      </rPr>
      <t>사용자가 샤오미 측이 공개한 수면효율 계산식을 확인해 알려줌</t>
    </r>
    <r>
      <rPr>
        <sz val="10"/>
        <rFont val="Arial"/>
        <charset val="1"/>
      </rPr>
      <t>: (</t>
    </r>
    <r>
      <rPr>
        <sz val="10"/>
        <rFont val="Noto Sans CJK SC"/>
        <family val="2"/>
      </rPr>
      <t>실제수면시간</t>
    </r>
    <r>
      <rPr>
        <sz val="10"/>
        <rFont val="Arial"/>
        <charset val="1"/>
      </rPr>
      <t>÷</t>
    </r>
    <r>
      <rPr>
        <sz val="10"/>
        <rFont val="Noto Sans CJK SC"/>
        <family val="2"/>
      </rPr>
      <t>침대에있던시간</t>
    </r>
    <r>
      <rPr>
        <sz val="10"/>
        <rFont val="Arial"/>
        <charset val="1"/>
      </rPr>
      <t xml:space="preserve">)×100 — </t>
    </r>
    <r>
      <rPr>
        <sz val="10"/>
        <rFont val="Noto Sans CJK SC"/>
        <family val="2"/>
      </rPr>
      <t xml:space="preserve">이는 저희 </t>
    </r>
    <r>
      <rPr>
        <sz val="10"/>
        <rFont val="Arial"/>
        <charset val="1"/>
      </rPr>
      <t>S4 '</t>
    </r>
    <r>
      <rPr>
        <sz val="10"/>
        <rFont val="Noto Sans CJK SC"/>
        <family val="2"/>
      </rPr>
      <t>수면효율</t>
    </r>
    <r>
      <rPr>
        <sz val="10"/>
        <rFont val="Arial"/>
        <charset val="1"/>
      </rPr>
      <t>_</t>
    </r>
    <r>
      <rPr>
        <sz val="10"/>
        <rFont val="Noto Sans CJK SC"/>
        <family val="2"/>
      </rPr>
      <t>계산</t>
    </r>
    <r>
      <rPr>
        <sz val="10"/>
        <rFont val="Arial"/>
        <charset val="1"/>
      </rPr>
      <t xml:space="preserve">_%' </t>
    </r>
    <r>
      <rPr>
        <sz val="10"/>
        <rFont val="Noto Sans CJK SC"/>
        <family val="2"/>
      </rPr>
      <t>열의 공식</t>
    </r>
    <r>
      <rPr>
        <sz val="10"/>
        <rFont val="Arial"/>
        <charset val="1"/>
      </rPr>
      <t>(TST÷TIB×100)</t>
    </r>
    <r>
      <rPr>
        <sz val="10"/>
        <rFont val="Noto Sans CJK SC"/>
        <family val="2"/>
      </rPr>
      <t>과 정확히 동일한 표준</t>
    </r>
    <r>
      <rPr>
        <sz val="10"/>
        <rFont val="Arial"/>
        <charset val="1"/>
      </rPr>
      <t xml:space="preserve">(PSG) </t>
    </r>
    <r>
      <rPr>
        <sz val="10"/>
        <rFont val="Noto Sans CJK SC"/>
        <family val="2"/>
      </rPr>
      <t>정의입니다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 xml:space="preserve">따라서 </t>
    </r>
    <r>
      <rPr>
        <sz val="10"/>
        <rFont val="Arial"/>
        <charset val="1"/>
      </rPr>
      <t>17</t>
    </r>
    <r>
      <rPr>
        <sz val="10"/>
        <rFont val="Noto Sans CJK SC"/>
        <family val="2"/>
      </rPr>
      <t xml:space="preserve">차에서 추가한 </t>
    </r>
    <r>
      <rPr>
        <sz val="10"/>
        <rFont val="Arial"/>
        <charset val="1"/>
      </rPr>
      <t>SE_</t>
    </r>
    <r>
      <rPr>
        <sz val="10"/>
        <rFont val="Noto Sans CJK SC"/>
        <family val="2"/>
      </rPr>
      <t>비교</t>
    </r>
    <r>
      <rPr>
        <sz val="10"/>
        <rFont val="Arial"/>
        <charset val="1"/>
      </rPr>
      <t>_QA</t>
    </r>
    <r>
      <rPr>
        <sz val="10"/>
        <rFont val="Noto Sans CJK SC"/>
        <family val="2"/>
      </rPr>
      <t>에서 계산값과 기기값이 차이 나는 경우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 xml:space="preserve">그 원인은 계산식 차이가 아니라 두 값이 </t>
    </r>
    <r>
      <rPr>
        <sz val="10"/>
        <rFont val="Arial"/>
        <charset val="1"/>
      </rPr>
      <t>'</t>
    </r>
    <r>
      <rPr>
        <sz val="10"/>
        <rFont val="Noto Sans CJK SC"/>
        <family val="2"/>
      </rPr>
      <t>침대에 있던 시간</t>
    </r>
    <r>
      <rPr>
        <sz val="10"/>
        <rFont val="Arial"/>
        <charset val="1"/>
      </rPr>
      <t>(TIB)'</t>
    </r>
    <r>
      <rPr>
        <sz val="10"/>
        <rFont val="Noto Sans CJK SC"/>
        <family val="2"/>
      </rPr>
      <t>을 서로 다른 방법으로 구했기 때문이라고 확정적으로 안내할 수 있습니다</t>
    </r>
    <r>
      <rPr>
        <sz val="10"/>
        <rFont val="Arial"/>
        <charset val="1"/>
      </rPr>
      <t xml:space="preserve">(S3 </t>
    </r>
    <r>
      <rPr>
        <sz val="10"/>
        <rFont val="Noto Sans CJK SC"/>
        <family val="2"/>
      </rPr>
      <t>허용기준 비고</t>
    </r>
    <r>
      <rPr>
        <sz val="10"/>
        <rFont val="Arial"/>
        <charset val="1"/>
      </rPr>
      <t xml:space="preserve">, S1 </t>
    </r>
    <r>
      <rPr>
        <sz val="10"/>
        <rFont val="Noto Sans CJK SC"/>
        <family val="2"/>
      </rPr>
      <t>안내문 갱신</t>
    </r>
    <r>
      <rPr>
        <sz val="10"/>
        <rFont val="Arial"/>
        <charset val="1"/>
      </rPr>
      <t>).</t>
    </r>
  </si>
  <si>
    <r>
      <rPr>
        <b/>
        <sz val="10"/>
        <color rgb="FF1F1F1F"/>
        <rFont val="Noto Sans CJK SC"/>
        <family val="2"/>
      </rPr>
      <t>수면효율</t>
    </r>
    <r>
      <rPr>
        <b/>
        <sz val="10"/>
        <color rgb="FF1F1F1F"/>
        <rFont val="Arial"/>
        <charset val="1"/>
      </rPr>
      <t>_</t>
    </r>
    <r>
      <rPr>
        <b/>
        <sz val="10"/>
        <color rgb="FF1F1F1F"/>
        <rFont val="Noto Sans CJK SC"/>
        <family val="2"/>
      </rPr>
      <t>최종</t>
    </r>
    <r>
      <rPr>
        <b/>
        <sz val="10"/>
        <color rgb="FF1F1F1F"/>
        <rFont val="Arial"/>
        <charset val="1"/>
      </rPr>
      <t xml:space="preserve">_% — </t>
    </r>
    <r>
      <rPr>
        <b/>
        <sz val="10"/>
        <color rgb="FF1F1F1F"/>
        <rFont val="Noto Sans CJK SC"/>
        <family val="2"/>
      </rPr>
      <t xml:space="preserve">기기값 우선 채택 </t>
    </r>
    <r>
      <rPr>
        <b/>
        <sz val="10"/>
        <color rgb="FF1F1F1F"/>
        <rFont val="Arial"/>
        <charset val="1"/>
      </rPr>
      <t>(19</t>
    </r>
    <r>
      <rPr>
        <b/>
        <sz val="10"/>
        <color rgb="FF1F1F1F"/>
        <rFont val="Noto Sans CJK SC"/>
        <family val="2"/>
      </rPr>
      <t>차 신규</t>
    </r>
    <r>
      <rPr>
        <b/>
        <sz val="10"/>
        <color rgb="FF1F1F1F"/>
        <rFont val="Arial"/>
        <charset val="1"/>
      </rPr>
      <t>)</t>
    </r>
  </si>
  <si>
    <r>
      <rPr>
        <sz val="10"/>
        <rFont val="Noto Sans CJK SC"/>
        <family val="2"/>
      </rPr>
      <t>리포트</t>
    </r>
    <r>
      <rPr>
        <sz val="10"/>
        <rFont val="Arial"/>
        <charset val="1"/>
      </rPr>
      <t>(04·07·16·17</t>
    </r>
    <r>
      <rPr>
        <sz val="10"/>
        <rFont val="Noto Sans CJK SC"/>
        <family val="2"/>
      </rPr>
      <t>페이지 등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 xml:space="preserve">에 실제로 반영되는 수면효율은 이제 </t>
    </r>
    <r>
      <rPr>
        <sz val="10"/>
        <rFont val="Arial"/>
        <charset val="1"/>
      </rPr>
      <t xml:space="preserve">S4 'AQ </t>
    </r>
    <r>
      <rPr>
        <sz val="10"/>
        <rFont val="Noto Sans CJK SC"/>
        <family val="2"/>
      </rPr>
      <t>수면효율</t>
    </r>
    <r>
      <rPr>
        <sz val="10"/>
        <rFont val="Arial"/>
        <charset val="1"/>
      </rPr>
      <t>_</t>
    </r>
    <r>
      <rPr>
        <sz val="10"/>
        <rFont val="Noto Sans CJK SC"/>
        <family val="2"/>
      </rPr>
      <t>최종</t>
    </r>
    <r>
      <rPr>
        <sz val="10"/>
        <rFont val="Arial"/>
        <charset val="1"/>
      </rPr>
      <t xml:space="preserve">_%' </t>
    </r>
    <r>
      <rPr>
        <sz val="10"/>
        <rFont val="Noto Sans CJK SC"/>
        <family val="2"/>
      </rPr>
      <t>열입니다</t>
    </r>
    <r>
      <rPr>
        <sz val="10"/>
        <rFont val="Arial"/>
        <charset val="1"/>
      </rPr>
      <t xml:space="preserve">: </t>
    </r>
    <r>
      <rPr>
        <sz val="10"/>
        <rFont val="Noto Sans CJK SC"/>
        <family val="2"/>
      </rPr>
      <t>웨어러블이 날짜별로 제공한 값이 있으면 그 값을 그대로 쓰고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없는 날만 취침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기상시각 기준 계산값</t>
    </r>
    <r>
      <rPr>
        <sz val="10"/>
        <rFont val="Arial"/>
        <charset val="1"/>
      </rPr>
      <t xml:space="preserve">('H </t>
    </r>
    <r>
      <rPr>
        <sz val="10"/>
        <rFont val="Noto Sans CJK SC"/>
        <family val="2"/>
      </rPr>
      <t>수면효율</t>
    </r>
    <r>
      <rPr>
        <sz val="10"/>
        <rFont val="Arial"/>
        <charset val="1"/>
      </rPr>
      <t>_</t>
    </r>
    <r>
      <rPr>
        <sz val="10"/>
        <rFont val="Noto Sans CJK SC"/>
        <family val="2"/>
      </rPr>
      <t>계산</t>
    </r>
    <r>
      <rPr>
        <sz val="10"/>
        <rFont val="Arial"/>
        <charset val="1"/>
      </rPr>
      <t>_%')</t>
    </r>
    <r>
      <rPr>
        <sz val="10"/>
        <rFont val="Noto Sans CJK SC"/>
        <family val="2"/>
      </rPr>
      <t>으로 대신합니다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방법</t>
    </r>
    <r>
      <rPr>
        <sz val="10"/>
        <rFont val="Arial"/>
        <charset val="1"/>
      </rPr>
      <t>: named range 'D_SE'</t>
    </r>
    <r>
      <rPr>
        <sz val="10"/>
        <rFont val="Noto Sans CJK SC"/>
        <family val="2"/>
      </rPr>
      <t xml:space="preserve">가 기존 </t>
    </r>
    <r>
      <rPr>
        <sz val="10"/>
        <rFont val="Arial"/>
        <charset val="1"/>
      </rPr>
      <t>H</t>
    </r>
    <r>
      <rPr>
        <sz val="10"/>
        <rFont val="Noto Sans CJK SC"/>
        <family val="2"/>
      </rPr>
      <t xml:space="preserve">열 대신 이 </t>
    </r>
    <r>
      <rPr>
        <sz val="10"/>
        <rFont val="Arial"/>
        <charset val="1"/>
      </rPr>
      <t>AQ</t>
    </r>
    <r>
      <rPr>
        <sz val="10"/>
        <rFont val="Noto Sans CJK SC"/>
        <family val="2"/>
      </rPr>
      <t>열을 가리키도록 재지정했을 뿐이라</t>
    </r>
    <r>
      <rPr>
        <sz val="10"/>
        <rFont val="Arial"/>
        <charset val="1"/>
      </rPr>
      <t>, D_SE/NR_SE_*</t>
    </r>
    <r>
      <rPr>
        <sz val="10"/>
        <rFont val="Noto Sans CJK SC"/>
        <family val="2"/>
      </rPr>
      <t xml:space="preserve">를 참조하는 </t>
    </r>
    <r>
      <rPr>
        <sz val="10"/>
        <rFont val="Arial"/>
        <charset val="1"/>
      </rPr>
      <t>S5</t>
    </r>
    <r>
      <rPr>
        <sz val="10"/>
        <rFont val="Noto Sans CJK SC"/>
        <family val="2"/>
      </rPr>
      <t>의 주간 통계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상관계수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 xml:space="preserve">회귀식과 </t>
    </r>
    <r>
      <rPr>
        <sz val="10"/>
        <rFont val="Arial"/>
        <charset val="1"/>
      </rPr>
      <t>S6/S7</t>
    </r>
    <r>
      <rPr>
        <sz val="10"/>
        <rFont val="Noto Sans CJK SC"/>
        <family val="2"/>
      </rPr>
      <t xml:space="preserve">의 </t>
    </r>
    <r>
      <rPr>
        <sz val="10"/>
        <rFont val="Arial"/>
        <charset val="1"/>
      </rPr>
      <t>07·16·17</t>
    </r>
    <r>
      <rPr>
        <sz val="10"/>
        <rFont val="Noto Sans CJK SC"/>
        <family val="2"/>
      </rPr>
      <t>페이지 문구가 전부 수정 없이 자동으로 최종값을 쓰게 됩니다</t>
    </r>
    <r>
      <rPr>
        <sz val="10"/>
        <rFont val="Arial"/>
        <charset val="1"/>
      </rPr>
      <t xml:space="preserve">(named range </t>
    </r>
    <r>
      <rPr>
        <sz val="10"/>
        <rFont val="Noto Sans CJK SC"/>
        <family val="2"/>
      </rPr>
      <t>기반 설계의 이점</t>
    </r>
    <r>
      <rPr>
        <sz val="10"/>
        <rFont val="Arial"/>
        <charset val="1"/>
      </rPr>
      <t xml:space="preserve">). </t>
    </r>
    <r>
      <rPr>
        <sz val="10"/>
        <rFont val="Noto Sans CJK SC"/>
        <family val="2"/>
      </rPr>
      <t xml:space="preserve">계산값 단독 참조가 필요하면 새로 분리한 </t>
    </r>
    <r>
      <rPr>
        <sz val="10"/>
        <rFont val="Arial"/>
        <charset val="1"/>
      </rPr>
      <t xml:space="preserve">'D_SE_CALC' </t>
    </r>
    <r>
      <rPr>
        <sz val="10"/>
        <rFont val="Noto Sans CJK SC"/>
        <family val="2"/>
      </rPr>
      <t>이름을 쓰세요</t>
    </r>
    <r>
      <rPr>
        <sz val="10"/>
        <rFont val="Arial"/>
        <charset val="1"/>
      </rPr>
      <t xml:space="preserve">. </t>
    </r>
    <r>
      <rPr>
        <sz val="10"/>
        <rFont val="Noto Sans CJK SC"/>
        <family val="2"/>
      </rPr>
      <t>채택 이유</t>
    </r>
    <r>
      <rPr>
        <sz val="10"/>
        <rFont val="Arial"/>
        <charset val="1"/>
      </rPr>
      <t>: (1) 18</t>
    </r>
    <r>
      <rPr>
        <sz val="10"/>
        <rFont val="Noto Sans CJK SC"/>
        <family val="2"/>
      </rPr>
      <t>차에서 샤오미의 계산식이 저희와 동일함을 확인했으므로 계산식 신뢰도 문제는 없음</t>
    </r>
    <r>
      <rPr>
        <sz val="10"/>
        <rFont val="Arial"/>
        <charset val="1"/>
      </rPr>
      <t xml:space="preserve">, (2) </t>
    </r>
    <r>
      <rPr>
        <sz val="10"/>
        <rFont val="Noto Sans CJK SC"/>
        <family val="2"/>
      </rPr>
      <t>웨어러블은 침상시간을 가속도계로 직접 감지해 사용자가 취침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>기상시각을 손으로 입력하며 발생해온 오류</t>
    </r>
    <r>
      <rPr>
        <sz val="10"/>
        <rFont val="Arial"/>
        <charset val="1"/>
      </rPr>
      <t>(14~16</t>
    </r>
    <r>
      <rPr>
        <sz val="10"/>
        <rFont val="Noto Sans CJK SC"/>
        <family val="2"/>
      </rPr>
      <t xml:space="preserve">차에서 반복적으로 고친 </t>
    </r>
    <r>
      <rPr>
        <sz val="10"/>
        <rFont val="Arial"/>
        <charset val="1"/>
      </rPr>
      <t xml:space="preserve">TIB </t>
    </r>
    <r>
      <rPr>
        <sz val="10"/>
        <rFont val="Noto Sans CJK SC"/>
        <family val="2"/>
      </rPr>
      <t>오입력</t>
    </r>
    <r>
      <rPr>
        <sz val="10"/>
        <rFont val="Arial"/>
        <charset val="1"/>
      </rPr>
      <t>·</t>
    </r>
    <r>
      <rPr>
        <sz val="10"/>
        <rFont val="Noto Sans CJK SC"/>
        <family val="2"/>
      </rPr>
      <t xml:space="preserve">수면효율 </t>
    </r>
    <r>
      <rPr>
        <sz val="10"/>
        <rFont val="Arial"/>
        <charset val="1"/>
      </rPr>
      <t xml:space="preserve">100% </t>
    </r>
    <r>
      <rPr>
        <sz val="10"/>
        <rFont val="Noto Sans CJK SC"/>
        <family val="2"/>
      </rPr>
      <t>초과</t>
    </r>
    <r>
      <rPr>
        <sz val="10"/>
        <rFont val="Arial"/>
        <charset val="1"/>
      </rPr>
      <t>)</t>
    </r>
    <r>
      <rPr>
        <sz val="10"/>
        <rFont val="Noto Sans CJK SC"/>
        <family val="2"/>
      </rPr>
      <t>의 원천 자체를 없앨 수 있음</t>
    </r>
    <r>
      <rPr>
        <sz val="10"/>
        <rFont val="Arial"/>
        <charset val="1"/>
      </rPr>
      <t>, (3) 100</t>
    </r>
    <r>
      <rPr>
        <sz val="10"/>
        <rFont val="Noto Sans CJK SC"/>
        <family val="2"/>
      </rPr>
      <t>명 배치 처리 시 입력 항목이 하나 줄어 효율적</t>
    </r>
    <r>
      <rPr>
        <sz val="10"/>
        <rFont val="Arial"/>
        <charset val="1"/>
      </rPr>
      <t>. 04</t>
    </r>
    <r>
      <rPr>
        <sz val="10"/>
        <rFont val="Noto Sans CJK SC"/>
        <family val="2"/>
      </rPr>
      <t>페이지 안내 문구에도 이 원칙을 반영</t>
    </r>
    <r>
      <rPr>
        <sz val="10"/>
        <rFont val="Arial"/>
        <charset val="1"/>
      </rPr>
      <t>.</t>
    </r>
  </si>
  <si>
    <r>
      <rPr>
        <b/>
        <sz val="16"/>
        <color rgb="FFFFFFFF"/>
        <rFont val="Arial"/>
        <charset val="1"/>
      </rPr>
      <t xml:space="preserve">S1. </t>
    </r>
    <r>
      <rPr>
        <b/>
        <sz val="16"/>
        <color rgb="FFFFFFFF"/>
        <rFont val="Noto Sans CJK SC"/>
        <family val="2"/>
      </rPr>
      <t>원본 데이터 입력</t>
    </r>
  </si>
  <si>
    <r>
      <rPr>
        <i/>
        <sz val="10"/>
        <color rgb="FF595959"/>
        <rFont val="Noto Sans CJK SC"/>
        <family val="2"/>
      </rPr>
      <t>파란 글씨 칸에 웨어러블</t>
    </r>
    <r>
      <rPr>
        <i/>
        <sz val="10"/>
        <color rgb="FF595959"/>
        <rFont val="Arial"/>
        <charset val="1"/>
      </rPr>
      <t>(</t>
    </r>
    <r>
      <rPr>
        <i/>
        <sz val="10"/>
        <color rgb="FF595959"/>
        <rFont val="Noto Sans CJK SC"/>
        <family val="2"/>
      </rPr>
      <t>예</t>
    </r>
    <r>
      <rPr>
        <i/>
        <sz val="10"/>
        <color rgb="FF595959"/>
        <rFont val="Arial"/>
        <charset val="1"/>
      </rPr>
      <t xml:space="preserve">: </t>
    </r>
    <r>
      <rPr>
        <i/>
        <sz val="10"/>
        <color rgb="FF595959"/>
        <rFont val="Noto Sans CJK SC"/>
        <family val="2"/>
      </rPr>
      <t>샤오미 미밴드</t>
    </r>
    <r>
      <rPr>
        <i/>
        <sz val="10"/>
        <color rgb="FF595959"/>
        <rFont val="Arial"/>
        <charset val="1"/>
      </rPr>
      <t xml:space="preserve">) </t>
    </r>
    <r>
      <rPr>
        <i/>
        <sz val="10"/>
        <color rgb="FF595959"/>
        <rFont val="Noto Sans CJK SC"/>
        <family val="2"/>
      </rPr>
      <t>앱에서 확인한 하루 단위 값을 입력하세요</t>
    </r>
    <r>
      <rPr>
        <i/>
        <sz val="10"/>
        <color rgb="FF595959"/>
        <rFont val="Arial"/>
        <charset val="1"/>
      </rPr>
      <t xml:space="preserve">. </t>
    </r>
    <r>
      <rPr>
        <i/>
        <sz val="10"/>
        <color rgb="FF595959"/>
        <rFont val="Noto Sans CJK SC"/>
        <family val="2"/>
      </rPr>
      <t>지금은 발행된 리포트</t>
    </r>
    <r>
      <rPr>
        <i/>
        <sz val="10"/>
        <color rgb="FF595959"/>
        <rFont val="Arial"/>
        <charset val="1"/>
      </rPr>
      <t>(9/8~9/14)</t>
    </r>
    <r>
      <rPr>
        <i/>
        <sz val="10"/>
        <color rgb="FF595959"/>
        <rFont val="Noto Sans CJK SC"/>
        <family val="2"/>
      </rPr>
      <t>의 예시 값이 들어 있습니다</t>
    </r>
    <r>
      <rPr>
        <i/>
        <sz val="10"/>
        <color rgb="FF595959"/>
        <rFont val="Arial"/>
        <charset val="1"/>
      </rPr>
      <t>.</t>
    </r>
  </si>
  <si>
    <t>요일</t>
  </si>
  <si>
    <t>날짜</t>
  </si>
  <si>
    <t>취침시각</t>
  </si>
  <si>
    <t>기상시각</t>
  </si>
  <si>
    <r>
      <rPr>
        <b/>
        <sz val="10"/>
        <color rgb="FFFFFFFF"/>
        <rFont val="Noto Sans CJK SC"/>
        <family val="2"/>
      </rPr>
      <t>입면잠복기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</t>
    </r>
    <r>
      <rPr>
        <b/>
        <sz val="10"/>
        <color rgb="FFFFFFFF"/>
        <rFont val="Arial"/>
        <charset val="1"/>
      </rPr>
      <t>(SOL)</t>
    </r>
  </si>
  <si>
    <r>
      <rPr>
        <b/>
        <sz val="10"/>
        <color rgb="FFFFFFFF"/>
        <rFont val="Noto Sans CJK SC"/>
        <family val="2"/>
      </rPr>
      <t>깊은수면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</si>
  <si>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얕은수면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</si>
  <si>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렘수면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</si>
  <si>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각성횟수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회</t>
    </r>
  </si>
  <si>
    <r>
      <rPr>
        <b/>
        <sz val="10"/>
        <color rgb="FFFFFFFF"/>
        <rFont val="Noto Sans CJK SC"/>
        <family val="2"/>
      </rPr>
      <t>심박수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평균</t>
    </r>
    <r>
      <rPr>
        <b/>
        <sz val="10"/>
        <color rgb="FFFFFFFF"/>
        <rFont val="Arial"/>
        <charset val="1"/>
      </rPr>
      <t>_bpm</t>
    </r>
  </si>
  <si>
    <r>
      <rPr>
        <b/>
        <sz val="10"/>
        <color rgb="FFFFFFFF"/>
        <rFont val="Noto Sans CJK SC"/>
        <family val="2"/>
      </rPr>
      <t>호흡수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평균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회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</si>
  <si>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Arial"/>
        <charset val="1"/>
      </rPr>
      <t>SpO2_</t>
    </r>
    <r>
      <rPr>
        <b/>
        <sz val="10"/>
        <color rgb="FFFFFFFF"/>
        <rFont val="Noto Sans CJK SC"/>
        <family val="2"/>
      </rPr>
      <t>평균</t>
    </r>
    <r>
      <rPr>
        <b/>
        <sz val="10"/>
        <color rgb="FFFFFFFF"/>
        <rFont val="Arial"/>
        <charset val="1"/>
      </rPr>
      <t>_%</t>
    </r>
  </si>
  <si>
    <r>
      <rPr>
        <b/>
        <sz val="10"/>
        <color rgb="FFFFFFFF"/>
        <rFont val="Arial"/>
        <charset val="1"/>
      </rPr>
      <t>SpO2_</t>
    </r>
    <r>
      <rPr>
        <b/>
        <sz val="10"/>
        <color rgb="FFFFFFFF"/>
        <rFont val="Noto Sans CJK SC"/>
        <family val="2"/>
      </rPr>
      <t>최저</t>
    </r>
    <r>
      <rPr>
        <b/>
        <sz val="10"/>
        <color rgb="FFFFFFFF"/>
        <rFont val="Arial"/>
        <charset val="1"/>
      </rPr>
      <t>_%(</t>
    </r>
    <r>
      <rPr>
        <b/>
        <sz val="10"/>
        <color rgb="FFFFFFFF"/>
        <rFont val="Noto Sans CJK SC"/>
        <family val="2"/>
      </rPr>
      <t>선택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</si>
  <si>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family val="2"/>
      </rPr>
      <t>활동시간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</si>
  <si>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걸음수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보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family val="2"/>
      </rPr>
      <t>선택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</si>
  <si>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family val="2"/>
      </rPr>
      <t>소모칼로리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기기값</t>
    </r>
    <r>
      <rPr>
        <b/>
        <sz val="10"/>
        <color rgb="FFFFFFFF"/>
        <rFont val="Arial"/>
        <charset val="1"/>
      </rPr>
      <t>_kcal(</t>
    </r>
    <r>
      <rPr>
        <b/>
        <sz val="10"/>
        <color rgb="FFFFFFFF"/>
        <rFont val="Noto Sans CJK SC"/>
        <family val="2"/>
      </rPr>
      <t>선택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</si>
  <si>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family val="2"/>
      </rPr>
      <t>활력점수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기기값</t>
    </r>
    <r>
      <rPr>
        <b/>
        <sz val="10"/>
        <color rgb="FFFFFFFF"/>
        <rFont val="Arial"/>
        <charset val="1"/>
      </rPr>
      <t>(0~100)</t>
    </r>
  </si>
  <si>
    <r>
      <rPr>
        <b/>
        <sz val="10"/>
        <color rgb="FFFFFFFF"/>
        <rFont val="Noto Sans CJK SC"/>
        <family val="2"/>
      </rPr>
      <t>각성시간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실측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family val="2"/>
      </rPr>
      <t>기기값</t>
    </r>
    <r>
      <rPr>
        <b/>
        <sz val="10"/>
        <color rgb="FFFFFFFF"/>
        <rFont val="Arial"/>
        <charset val="1"/>
      </rPr>
      <t>,</t>
    </r>
    <r>
      <rPr>
        <b/>
        <sz val="10"/>
        <color rgb="FFFFFFFF"/>
        <rFont val="Noto Sans CJK SC"/>
        <family val="2"/>
      </rPr>
      <t>선택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</si>
  <si>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family val="2"/>
      </rPr>
      <t>수면효율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기기값</t>
    </r>
    <r>
      <rPr>
        <b/>
        <sz val="10"/>
        <color rgb="FFFFFFFF"/>
        <rFont val="Arial"/>
        <charset val="1"/>
      </rPr>
      <t>_%(</t>
    </r>
    <r>
      <rPr>
        <b/>
        <sz val="10"/>
        <color rgb="FFFFFFFF"/>
        <rFont val="Noto Sans CJK SC"/>
        <family val="2"/>
      </rPr>
      <t>선택</t>
    </r>
    <r>
      <rPr>
        <b/>
        <sz val="10"/>
        <color rgb="FFFFFFFF"/>
        <rFont val="Arial"/>
        <charset val="1"/>
      </rPr>
      <t>,17</t>
    </r>
    <r>
      <rPr>
        <b/>
        <sz val="10"/>
        <color rgb="FFFFFFFF"/>
        <rFont val="Noto Sans CJK SC"/>
        <family val="2"/>
      </rPr>
      <t>차</t>
    </r>
    <r>
      <rPr>
        <b/>
        <sz val="10"/>
        <color rgb="FFFFFFFF"/>
        <rFont val="Arial"/>
        <charset val="1"/>
      </rPr>
      <t>)</t>
    </r>
  </si>
  <si>
    <t>월</t>
  </si>
  <si>
    <t>화</t>
  </si>
  <si>
    <t>수</t>
  </si>
  <si>
    <t>목</t>
  </si>
  <si>
    <t>금</t>
  </si>
  <si>
    <t>토</t>
  </si>
  <si>
    <t>일</t>
  </si>
  <si>
    <r>
      <rPr>
        <i/>
        <sz val="9"/>
        <color rgb="FF808080"/>
        <rFont val="Noto Sans CJK SC"/>
        <family val="2"/>
      </rPr>
      <t xml:space="preserve">※ 위 값은 </t>
    </r>
    <r>
      <rPr>
        <i/>
        <sz val="9"/>
        <color rgb="FF808080"/>
        <rFont val="Arial"/>
        <charset val="1"/>
      </rPr>
      <t xml:space="preserve">2026.09.08~09.14 </t>
    </r>
    <r>
      <rPr>
        <i/>
        <sz val="9"/>
        <color rgb="FF808080"/>
        <rFont val="Noto Sans CJK SC"/>
        <family val="2"/>
      </rPr>
      <t>발행 리포트</t>
    </r>
    <r>
      <rPr>
        <i/>
        <sz val="9"/>
        <color rgb="FF808080"/>
        <rFont val="Arial"/>
        <charset val="1"/>
      </rPr>
      <t>(Version 61)</t>
    </r>
    <r>
      <rPr>
        <i/>
        <sz val="9"/>
        <color rgb="FF808080"/>
        <rFont val="Noto Sans CJK SC"/>
        <family val="2"/>
      </rPr>
      <t>의 예시 데이터입니다</t>
    </r>
    <r>
      <rPr>
        <i/>
        <sz val="9"/>
        <color rgb="FF808080"/>
        <rFont val="Arial"/>
        <charset val="1"/>
      </rPr>
      <t xml:space="preserve">. </t>
    </r>
    <r>
      <rPr>
        <i/>
        <sz val="9"/>
        <color rgb="FF808080"/>
        <rFont val="Noto Sans CJK SC"/>
        <family val="2"/>
      </rPr>
      <t>새 대상자의 데이터로 교체해 사용하세요</t>
    </r>
    <r>
      <rPr>
        <i/>
        <sz val="9"/>
        <color rgb="FF808080"/>
        <rFont val="Arial"/>
        <charset val="1"/>
      </rPr>
      <t>. SpO2_</t>
    </r>
    <r>
      <rPr>
        <i/>
        <sz val="9"/>
        <color rgb="FF808080"/>
        <rFont val="Noto Sans CJK SC"/>
        <family val="2"/>
      </rPr>
      <t>최저</t>
    </r>
    <r>
      <rPr>
        <i/>
        <sz val="9"/>
        <color rgb="FF808080"/>
        <rFont val="Arial"/>
        <charset val="1"/>
      </rPr>
      <t>·</t>
    </r>
    <r>
      <rPr>
        <i/>
        <sz val="9"/>
        <color rgb="FF808080"/>
        <rFont val="Noto Sans CJK SC"/>
        <family val="2"/>
      </rPr>
      <t>걸음수</t>
    </r>
    <r>
      <rPr>
        <i/>
        <sz val="9"/>
        <color rgb="FF808080"/>
        <rFont val="Arial"/>
        <charset val="1"/>
      </rPr>
      <t>·</t>
    </r>
    <r>
      <rPr>
        <i/>
        <sz val="9"/>
        <color rgb="FF808080"/>
        <rFont val="Noto Sans CJK SC"/>
        <family val="2"/>
      </rPr>
      <t>소모칼로리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>기기값</t>
    </r>
    <r>
      <rPr>
        <i/>
        <sz val="9"/>
        <color rgb="FF808080"/>
        <rFont val="Arial"/>
        <charset val="1"/>
      </rPr>
      <t>)·</t>
    </r>
    <r>
      <rPr>
        <i/>
        <sz val="9"/>
        <color rgb="FF808080"/>
        <rFont val="Noto Sans CJK SC"/>
        <family val="2"/>
      </rPr>
      <t>각성시간</t>
    </r>
    <r>
      <rPr>
        <i/>
        <sz val="9"/>
        <color rgb="FF808080"/>
        <rFont val="Arial"/>
        <charset val="1"/>
      </rPr>
      <t>_</t>
    </r>
    <r>
      <rPr>
        <i/>
        <sz val="9"/>
        <color rgb="FF808080"/>
        <rFont val="Noto Sans CJK SC"/>
        <family val="2"/>
      </rPr>
      <t>실측은 선택 입력이며</t>
    </r>
    <r>
      <rPr>
        <i/>
        <sz val="9"/>
        <color rgb="FF808080"/>
        <rFont val="Arial"/>
        <charset val="1"/>
      </rPr>
      <t xml:space="preserve">, </t>
    </r>
    <r>
      <rPr>
        <i/>
        <sz val="9"/>
        <color rgb="FF808080"/>
        <rFont val="Noto Sans CJK SC"/>
        <family val="2"/>
      </rPr>
      <t>비워두면 관련 수식은 자동으로 빈 값을 반환합니다</t>
    </r>
    <r>
      <rPr>
        <i/>
        <sz val="9"/>
        <color rgb="FF808080"/>
        <rFont val="Arial"/>
        <charset val="1"/>
      </rPr>
      <t xml:space="preserve">. </t>
    </r>
    <r>
      <rPr>
        <i/>
        <sz val="9"/>
        <color rgb="FF808080"/>
        <rFont val="Noto Sans CJK SC"/>
        <family val="2"/>
      </rPr>
      <t>각성시간</t>
    </r>
    <r>
      <rPr>
        <i/>
        <sz val="9"/>
        <color rgb="FF808080"/>
        <rFont val="Arial"/>
        <charset val="1"/>
      </rPr>
      <t>_</t>
    </r>
    <r>
      <rPr>
        <i/>
        <sz val="9"/>
        <color rgb="FF808080"/>
        <rFont val="Noto Sans CJK SC"/>
        <family val="2"/>
      </rPr>
      <t xml:space="preserve">실측은 기기가 </t>
    </r>
    <r>
      <rPr>
        <i/>
        <sz val="9"/>
        <color rgb="FF808080"/>
        <rFont val="Arial"/>
        <charset val="1"/>
      </rPr>
      <t>'</t>
    </r>
    <r>
      <rPr>
        <i/>
        <sz val="9"/>
        <color rgb="FF808080"/>
        <rFont val="Noto Sans CJK SC"/>
        <family val="2"/>
      </rPr>
      <t>각성횟수</t>
    </r>
    <r>
      <rPr>
        <i/>
        <sz val="9"/>
        <color rgb="FF808080"/>
        <rFont val="Arial"/>
        <charset val="1"/>
      </rPr>
      <t>'</t>
    </r>
    <r>
      <rPr>
        <i/>
        <sz val="9"/>
        <color rgb="FF808080"/>
        <rFont val="Noto Sans CJK SC"/>
        <family val="2"/>
      </rPr>
      <t>와 별도로 알려주는 밤사이 총 깨어있던 시간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>분</t>
    </r>
    <r>
      <rPr>
        <i/>
        <sz val="9"/>
        <color rgb="FF808080"/>
        <rFont val="Arial"/>
        <charset val="1"/>
      </rPr>
      <t>)</t>
    </r>
    <r>
      <rPr>
        <i/>
        <sz val="9"/>
        <color rgb="FF808080"/>
        <rFont val="Noto Sans CJK SC"/>
        <family val="2"/>
      </rPr>
      <t xml:space="preserve">입니다 — 입력하면 </t>
    </r>
    <r>
      <rPr>
        <i/>
        <sz val="9"/>
        <color rgb="FF808080"/>
        <rFont val="Arial"/>
        <charset val="1"/>
      </rPr>
      <t>06</t>
    </r>
    <r>
      <rPr>
        <i/>
        <sz val="9"/>
        <color rgb="FF808080"/>
        <rFont val="Noto Sans CJK SC"/>
        <family val="2"/>
      </rPr>
      <t xml:space="preserve">페이지에 </t>
    </r>
    <r>
      <rPr>
        <i/>
        <sz val="9"/>
        <color rgb="FF808080"/>
        <rFont val="Arial"/>
        <charset val="1"/>
      </rPr>
      <t>'</t>
    </r>
    <r>
      <rPr>
        <i/>
        <sz val="9"/>
        <color rgb="FF808080"/>
        <rFont val="Noto Sans CJK SC"/>
        <family val="2"/>
      </rPr>
      <t xml:space="preserve">평균 </t>
    </r>
    <r>
      <rPr>
        <i/>
        <sz val="9"/>
        <color rgb="FF808080"/>
        <rFont val="Arial"/>
        <charset val="1"/>
      </rPr>
      <t>1</t>
    </r>
    <r>
      <rPr>
        <i/>
        <sz val="9"/>
        <color rgb="FF808080"/>
        <rFont val="Noto Sans CJK SC"/>
        <family val="2"/>
      </rPr>
      <t>회 각성 지속시간</t>
    </r>
    <r>
      <rPr>
        <i/>
        <sz val="9"/>
        <color rgb="FF808080"/>
        <rFont val="Arial"/>
        <charset val="1"/>
      </rPr>
      <t xml:space="preserve">' </t>
    </r>
    <r>
      <rPr>
        <i/>
        <sz val="9"/>
        <color rgb="FF808080"/>
        <rFont val="Noto Sans CJK SC"/>
        <family val="2"/>
      </rPr>
      <t>분석 카드가 추가로 계산됩니다</t>
    </r>
    <r>
      <rPr>
        <i/>
        <sz val="9"/>
        <color rgb="FF808080"/>
        <rFont val="Arial"/>
        <charset val="1"/>
      </rPr>
      <t xml:space="preserve">. </t>
    </r>
    <r>
      <rPr>
        <i/>
        <sz val="9"/>
        <color rgb="FF808080"/>
        <rFont val="Noto Sans CJK SC"/>
        <family val="2"/>
      </rPr>
      <t xml:space="preserve">비워두면 </t>
    </r>
    <r>
      <rPr>
        <i/>
        <sz val="9"/>
        <color rgb="FF808080"/>
        <rFont val="Arial"/>
        <charset val="1"/>
      </rPr>
      <t>TIB−</t>
    </r>
    <r>
      <rPr>
        <i/>
        <sz val="9"/>
        <color rgb="FF808080"/>
        <rFont val="Noto Sans CJK SC"/>
        <family val="2"/>
      </rPr>
      <t>입면잠복기−총수면시간의 잔차값으로 대체 추정합니다</t>
    </r>
    <r>
      <rPr>
        <i/>
        <sz val="9"/>
        <color rgb="FF808080"/>
        <rFont val="Arial"/>
        <charset val="1"/>
      </rPr>
      <t xml:space="preserve">. </t>
    </r>
    <r>
      <rPr>
        <i/>
        <sz val="9"/>
        <color rgb="FF808080"/>
        <rFont val="Noto Sans CJK SC"/>
        <family val="2"/>
      </rPr>
      <t>취침시각</t>
    </r>
    <r>
      <rPr>
        <i/>
        <sz val="9"/>
        <color rgb="FF808080"/>
        <rFont val="Arial"/>
        <charset val="1"/>
      </rPr>
      <t>·</t>
    </r>
    <r>
      <rPr>
        <i/>
        <sz val="9"/>
        <color rgb="FF808080"/>
        <rFont val="Noto Sans CJK SC"/>
        <family val="2"/>
      </rPr>
      <t>기상시각을 넣으면 침상시간</t>
    </r>
    <r>
      <rPr>
        <i/>
        <sz val="9"/>
        <color rgb="FF808080"/>
        <rFont val="Arial"/>
        <charset val="1"/>
      </rPr>
      <t>(TIB)</t>
    </r>
    <r>
      <rPr>
        <i/>
        <sz val="9"/>
        <color rgb="FF808080"/>
        <rFont val="Noto Sans CJK SC"/>
        <family val="2"/>
      </rPr>
      <t xml:space="preserve">은 </t>
    </r>
    <r>
      <rPr>
        <i/>
        <sz val="9"/>
        <color rgb="FF808080"/>
        <rFont val="Arial"/>
        <charset val="1"/>
      </rPr>
      <t>S4</t>
    </r>
    <r>
      <rPr>
        <i/>
        <sz val="9"/>
        <color rgb="FF808080"/>
        <rFont val="Noto Sans CJK SC"/>
        <family val="2"/>
      </rPr>
      <t>에서 자동으로 계산됩니다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>직접 계산해서 넣지 않아도 됩니다</t>
    </r>
    <r>
      <rPr>
        <i/>
        <sz val="9"/>
        <color rgb="FF808080"/>
        <rFont val="Arial"/>
        <charset val="1"/>
      </rPr>
      <t xml:space="preserve">) — </t>
    </r>
    <r>
      <rPr>
        <i/>
        <sz val="9"/>
        <color rgb="FF808080"/>
        <rFont val="Noto Sans CJK SC"/>
        <family val="2"/>
      </rPr>
      <t>자정을 넘는 취침시각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>예</t>
    </r>
    <r>
      <rPr>
        <i/>
        <sz val="9"/>
        <color rgb="FF808080"/>
        <rFont val="Arial"/>
        <charset val="1"/>
      </rPr>
      <t>: 23:15)</t>
    </r>
    <r>
      <rPr>
        <i/>
        <sz val="9"/>
        <color rgb="FF808080"/>
        <rFont val="Noto Sans CJK SC"/>
        <family val="2"/>
      </rPr>
      <t>도 그대로 입력하면 됩니다</t>
    </r>
    <r>
      <rPr>
        <i/>
        <sz val="9"/>
        <color rgb="FF808080"/>
        <rFont val="Arial"/>
        <charset val="1"/>
      </rPr>
      <t xml:space="preserve">. </t>
    </r>
    <r>
      <rPr>
        <i/>
        <sz val="9"/>
        <color rgb="FF808080"/>
        <rFont val="Noto Sans CJK SC"/>
        <family val="2"/>
      </rPr>
      <t>입면잠복기</t>
    </r>
    <r>
      <rPr>
        <i/>
        <sz val="9"/>
        <color rgb="FF808080"/>
        <rFont val="Arial"/>
        <charset val="1"/>
      </rPr>
      <t>(SOL)</t>
    </r>
    <r>
      <rPr>
        <i/>
        <sz val="9"/>
        <color rgb="FF808080"/>
        <rFont val="Noto Sans CJK SC"/>
        <family val="2"/>
      </rPr>
      <t>는 시각이 아니라 분 단위 숫자만 입력하세요</t>
    </r>
    <r>
      <rPr>
        <i/>
        <sz val="9"/>
        <color rgb="FF808080"/>
        <rFont val="Arial"/>
        <charset val="1"/>
      </rPr>
      <t xml:space="preserve">. </t>
    </r>
    <r>
      <rPr>
        <i/>
        <sz val="9"/>
        <color rgb="FF808080"/>
        <rFont val="Noto Sans CJK SC"/>
        <family val="2"/>
      </rPr>
      <t>수면효율</t>
    </r>
    <r>
      <rPr>
        <i/>
        <sz val="9"/>
        <color rgb="FF808080"/>
        <rFont val="Arial"/>
        <charset val="1"/>
      </rPr>
      <t>_</t>
    </r>
    <r>
      <rPr>
        <i/>
        <sz val="9"/>
        <color rgb="FF808080"/>
        <rFont val="Noto Sans CJK SC"/>
        <family val="2"/>
      </rPr>
      <t>기기값은 웨어러블 앱이 날짜별로 따로 제공하는 수면효율</t>
    </r>
    <r>
      <rPr>
        <i/>
        <sz val="9"/>
        <color rgb="FF808080"/>
        <rFont val="Arial"/>
        <charset val="1"/>
      </rPr>
      <t>(%)</t>
    </r>
    <r>
      <rPr>
        <i/>
        <sz val="9"/>
        <color rgb="FF808080"/>
        <rFont val="Noto Sans CJK SC"/>
        <family val="2"/>
      </rPr>
      <t xml:space="preserve">이 있으면 입력하세요 — 입력하면 </t>
    </r>
    <r>
      <rPr>
        <i/>
        <sz val="9"/>
        <color rgb="FF808080"/>
        <rFont val="Arial"/>
        <charset val="1"/>
      </rPr>
      <t>S4</t>
    </r>
    <r>
      <rPr>
        <i/>
        <sz val="9"/>
        <color rgb="FF808080"/>
        <rFont val="Noto Sans CJK SC"/>
        <family val="2"/>
      </rPr>
      <t>에서 저희가 계산한 수면효율과 자동으로 비교해 차이가 큰 날을 표시합니다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>비워두면 비교하지 않음</t>
    </r>
    <r>
      <rPr>
        <i/>
        <sz val="9"/>
        <color rgb="FF808080"/>
        <rFont val="Arial"/>
        <charset val="1"/>
      </rPr>
      <t>).</t>
    </r>
  </si>
  <si>
    <r>
      <rPr>
        <b/>
        <sz val="16"/>
        <color rgb="FFFFFFFF"/>
        <rFont val="Arial"/>
        <charset val="1"/>
      </rPr>
      <t xml:space="preserve">S2. </t>
    </r>
    <r>
      <rPr>
        <b/>
        <sz val="16"/>
        <color rgb="FFFFFFFF"/>
        <rFont val="Noto Sans CJK SC"/>
        <family val="2"/>
      </rPr>
      <t>개인 프로필 입력</t>
    </r>
  </si>
  <si>
    <r>
      <rPr>
        <i/>
        <sz val="10"/>
        <color rgb="FF595959"/>
        <rFont val="Arial"/>
        <charset val="1"/>
      </rPr>
      <t>14</t>
    </r>
    <r>
      <rPr>
        <i/>
        <sz val="10"/>
        <color rgb="FF595959"/>
        <rFont val="Noto Sans CJK SC"/>
        <family val="2"/>
      </rPr>
      <t>페이지 소모칼로리</t>
    </r>
    <r>
      <rPr>
        <i/>
        <sz val="10"/>
        <color rgb="FF595959"/>
        <rFont val="Arial"/>
        <charset val="1"/>
      </rPr>
      <t xml:space="preserve">(BMR </t>
    </r>
    <r>
      <rPr>
        <i/>
        <sz val="10"/>
        <color rgb="FF595959"/>
        <rFont val="Noto Sans CJK SC"/>
        <family val="2"/>
      </rPr>
      <t>추정</t>
    </r>
    <r>
      <rPr>
        <i/>
        <sz val="10"/>
        <color rgb="FF595959"/>
        <rFont val="Arial"/>
        <charset val="1"/>
      </rPr>
      <t>)</t>
    </r>
    <r>
      <rPr>
        <i/>
        <sz val="10"/>
        <color rgb="FF595959"/>
        <rFont val="Noto Sans CJK SC"/>
        <family val="2"/>
      </rPr>
      <t>에 사용됩니다</t>
    </r>
    <r>
      <rPr>
        <i/>
        <sz val="10"/>
        <color rgb="FF595959"/>
        <rFont val="Arial"/>
        <charset val="1"/>
      </rPr>
      <t xml:space="preserve">. </t>
    </r>
    <r>
      <rPr>
        <i/>
        <sz val="10"/>
        <color rgb="FF595959"/>
        <rFont val="Noto Sans CJK SC"/>
        <family val="2"/>
      </rPr>
      <t>파란 글씨 칸만 입력하세요</t>
    </r>
    <r>
      <rPr>
        <i/>
        <sz val="10"/>
        <color rgb="FF595959"/>
        <rFont val="Arial"/>
        <charset val="1"/>
      </rPr>
      <t>.</t>
    </r>
  </si>
  <si>
    <t>값</t>
  </si>
  <si>
    <r>
      <rPr>
        <b/>
        <sz val="10"/>
        <color rgb="FF1F1F1F"/>
        <rFont val="Noto Sans CJK SC"/>
        <family val="2"/>
      </rPr>
      <t>이름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선택</t>
    </r>
    <r>
      <rPr>
        <b/>
        <sz val="10"/>
        <color rgb="FF1F1F1F"/>
        <rFont val="Arial"/>
        <charset val="1"/>
      </rPr>
      <t>)</t>
    </r>
  </si>
  <si>
    <t>예시 대상자</t>
  </si>
  <si>
    <r>
      <rPr>
        <b/>
        <sz val="10"/>
        <color rgb="FF1F1F1F"/>
        <rFont val="Noto Sans CJK SC"/>
        <family val="2"/>
      </rPr>
      <t xml:space="preserve">성별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남</t>
    </r>
    <r>
      <rPr>
        <b/>
        <sz val="10"/>
        <color rgb="FF1F1F1F"/>
        <rFont val="Arial"/>
        <charset val="1"/>
      </rPr>
      <t>/</t>
    </r>
    <r>
      <rPr>
        <b/>
        <sz val="10"/>
        <color rgb="FF1F1F1F"/>
        <rFont val="Noto Sans CJK SC"/>
        <family val="2"/>
      </rPr>
      <t>여</t>
    </r>
    <r>
      <rPr>
        <b/>
        <sz val="10"/>
        <color rgb="FF1F1F1F"/>
        <rFont val="Arial"/>
        <charset val="1"/>
      </rPr>
      <t>)</t>
    </r>
  </si>
  <si>
    <t>여</t>
  </si>
  <si>
    <r>
      <rPr>
        <b/>
        <sz val="10"/>
        <color rgb="FF1F1F1F"/>
        <rFont val="Noto Sans CJK SC"/>
        <family val="2"/>
      </rPr>
      <t xml:space="preserve">나이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세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</si>
  <si>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체중 </t>
    </r>
    <r>
      <rPr>
        <b/>
        <sz val="10"/>
        <color rgb="FF1F1F1F"/>
        <rFont val="Arial"/>
        <charset val="1"/>
      </rPr>
      <t>(kg)</t>
    </r>
  </si>
  <si>
    <r>
      <rPr>
        <b/>
        <sz val="10"/>
        <color rgb="FF1F1F1F"/>
        <rFont val="Noto Sans CJK SC"/>
        <family val="2"/>
      </rPr>
      <t xml:space="preserve">키 </t>
    </r>
    <r>
      <rPr>
        <b/>
        <sz val="10"/>
        <color rgb="FF1F1F1F"/>
        <rFont val="Arial"/>
        <charset val="1"/>
      </rPr>
      <t>(cm)</t>
    </r>
  </si>
  <si>
    <r>
      <rPr>
        <b/>
        <sz val="10"/>
        <color rgb="FF1F1F1F"/>
        <rFont val="Arial"/>
        <charset val="1"/>
      </rPr>
      <t>BMI (</t>
    </r>
    <r>
      <rPr>
        <b/>
        <sz val="10"/>
        <color rgb="FF1F1F1F"/>
        <rFont val="Noto Sans CJK SC"/>
        <family val="2"/>
      </rPr>
      <t>자동계산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</si>
  <si>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기초대사량 </t>
    </r>
    <r>
      <rPr>
        <b/>
        <sz val="10"/>
        <color rgb="FF1F1F1F"/>
        <rFont val="Arial"/>
        <charset val="1"/>
      </rPr>
      <t>BMR (</t>
    </r>
    <r>
      <rPr>
        <b/>
        <sz val="10"/>
        <color rgb="FF1F1F1F"/>
        <rFont val="Noto Sans CJK SC"/>
        <family val="2"/>
      </rPr>
      <t>자동계산</t>
    </r>
    <r>
      <rPr>
        <b/>
        <sz val="10"/>
        <color rgb="FF1F1F1F"/>
        <rFont val="Arial"/>
        <charset val="1"/>
      </rPr>
      <t>, kcal/</t>
    </r>
    <r>
      <rPr>
        <b/>
        <sz val="10"/>
        <color rgb="FF1F1F1F"/>
        <rFont val="Noto Sans CJK SC"/>
        <family val="2"/>
      </rPr>
      <t>일</t>
    </r>
    <r>
      <rPr>
        <b/>
        <sz val="10"/>
        <color rgb="FF1F1F1F"/>
        <rFont val="Arial"/>
        <charset val="1"/>
      </rPr>
      <t>)</t>
    </r>
  </si>
  <si>
    <r>
      <rPr>
        <i/>
        <sz val="9"/>
        <color rgb="FF808080"/>
        <rFont val="Arial"/>
        <charset val="1"/>
      </rPr>
      <t xml:space="preserve">Mifflin-St Jeor </t>
    </r>
    <r>
      <rPr>
        <i/>
        <sz val="9"/>
        <color rgb="FF808080"/>
        <rFont val="Noto Sans CJK SC"/>
        <family val="2"/>
      </rPr>
      <t xml:space="preserve">공식 </t>
    </r>
    <r>
      <rPr>
        <i/>
        <sz val="9"/>
        <color rgb="FF808080"/>
        <rFont val="Arial"/>
        <charset val="1"/>
      </rPr>
      <t xml:space="preserve">(1990). </t>
    </r>
    <r>
      <rPr>
        <i/>
        <sz val="9"/>
        <color rgb="FF808080"/>
        <rFont val="Noto Sans CJK SC"/>
        <family val="2"/>
      </rPr>
      <t>남</t>
    </r>
    <r>
      <rPr>
        <i/>
        <sz val="9"/>
        <color rgb="FF808080"/>
        <rFont val="Arial"/>
        <charset val="1"/>
      </rPr>
      <t xml:space="preserve">: 10W+6.25H-5A+5 / </t>
    </r>
    <r>
      <rPr>
        <i/>
        <sz val="9"/>
        <color rgb="FF808080"/>
        <rFont val="Noto Sans CJK SC"/>
        <family val="2"/>
      </rPr>
      <t>여</t>
    </r>
    <r>
      <rPr>
        <i/>
        <sz val="9"/>
        <color rgb="FF808080"/>
        <rFont val="Arial"/>
        <charset val="1"/>
      </rPr>
      <t>: 10W+6.25H-5A-161</t>
    </r>
  </si>
  <si>
    <r>
      <rPr>
        <b/>
        <sz val="16"/>
        <color rgb="FFFFFFFF"/>
        <rFont val="Arial"/>
        <charset val="1"/>
      </rPr>
      <t xml:space="preserve">S3. </t>
    </r>
    <r>
      <rPr>
        <b/>
        <sz val="16"/>
        <color rgb="FFFFFFFF"/>
        <rFont val="Noto Sans CJK SC"/>
        <family val="2"/>
      </rPr>
      <t>참고범위 및 가정치 설정</t>
    </r>
  </si>
  <si>
    <r>
      <rPr>
        <i/>
        <sz val="10"/>
        <color rgb="FF595959"/>
        <rFont val="Noto Sans CJK SC"/>
        <family val="2"/>
      </rPr>
      <t>노란 칸은 조정 가능한 값입니다</t>
    </r>
    <r>
      <rPr>
        <i/>
        <sz val="10"/>
        <color rgb="FF595959"/>
        <rFont val="Arial"/>
        <charset val="1"/>
      </rPr>
      <t xml:space="preserve">. </t>
    </r>
    <r>
      <rPr>
        <i/>
        <sz val="10"/>
        <color rgb="FF595959"/>
        <rFont val="Noto Sans CJK SC"/>
        <family val="2"/>
      </rPr>
      <t>임상 참고범위</t>
    </r>
    <r>
      <rPr>
        <i/>
        <sz val="10"/>
        <color rgb="FF595959"/>
        <rFont val="Arial"/>
        <charset val="1"/>
      </rPr>
      <t>(</t>
    </r>
    <r>
      <rPr>
        <i/>
        <sz val="10"/>
        <color rgb="FF595959"/>
        <rFont val="Noto Sans CJK SC"/>
        <family val="2"/>
      </rPr>
      <t>수면효율</t>
    </r>
    <r>
      <rPr>
        <i/>
        <sz val="10"/>
        <color rgb="FF595959"/>
        <rFont val="Arial"/>
        <charset val="1"/>
      </rPr>
      <t>·</t>
    </r>
    <r>
      <rPr>
        <i/>
        <sz val="10"/>
        <color rgb="FF595959"/>
        <rFont val="Noto Sans CJK SC"/>
        <family val="2"/>
      </rPr>
      <t>입면잠복기 등</t>
    </r>
    <r>
      <rPr>
        <i/>
        <sz val="10"/>
        <color rgb="FF595959"/>
        <rFont val="Arial"/>
        <charset val="1"/>
      </rPr>
      <t>)</t>
    </r>
    <r>
      <rPr>
        <i/>
        <sz val="10"/>
        <color rgb="FF595959"/>
        <rFont val="Noto Sans CJK SC"/>
        <family val="2"/>
      </rPr>
      <t>는 원 리포트에 쓰인 값을 기본값으로 넣었고</t>
    </r>
    <r>
      <rPr>
        <i/>
        <sz val="10"/>
        <color rgb="FF595959"/>
        <rFont val="Arial"/>
        <charset val="1"/>
      </rPr>
      <t xml:space="preserve">, </t>
    </r>
    <r>
      <rPr>
        <i/>
        <sz val="10"/>
        <color rgb="FF595959"/>
        <rFont val="Noto Sans CJK SC"/>
        <family val="2"/>
      </rPr>
      <t>목표치</t>
    </r>
    <r>
      <rPr>
        <i/>
        <sz val="10"/>
        <color rgb="FF595959"/>
        <rFont val="Arial"/>
        <charset val="1"/>
      </rPr>
      <t>·</t>
    </r>
    <r>
      <rPr>
        <i/>
        <sz val="10"/>
        <color rgb="FF595959"/>
        <rFont val="Noto Sans CJK SC"/>
        <family val="2"/>
      </rPr>
      <t>이상신호 편차기준</t>
    </r>
    <r>
      <rPr>
        <i/>
        <sz val="10"/>
        <color rgb="FF595959"/>
        <rFont val="Arial"/>
        <charset val="1"/>
      </rPr>
      <t xml:space="preserve">·MET </t>
    </r>
    <r>
      <rPr>
        <i/>
        <sz val="10"/>
        <color rgb="FF595959"/>
        <rFont val="Noto Sans CJK SC"/>
        <family val="2"/>
      </rPr>
      <t>가정은 상황에 맞게 바꿀 수 있습니다</t>
    </r>
    <r>
      <rPr>
        <i/>
        <sz val="10"/>
        <color rgb="FF595959"/>
        <rFont val="Arial"/>
        <charset val="1"/>
      </rPr>
      <t>.</t>
    </r>
  </si>
  <si>
    <t>하한</t>
  </si>
  <si>
    <t>상한</t>
  </si>
  <si>
    <r>
      <rPr>
        <b/>
        <sz val="10"/>
        <color rgb="FFFFFFFF"/>
        <rFont val="Noto Sans CJK SC"/>
        <family val="2"/>
      </rPr>
      <t>목표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family val="2"/>
      </rPr>
      <t>기준값</t>
    </r>
  </si>
  <si>
    <t>단위</t>
  </si>
  <si>
    <r>
      <rPr>
        <b/>
        <sz val="10"/>
        <color rgb="FFFFFFFF"/>
        <rFont val="Noto Sans CJK SC"/>
        <family val="2"/>
      </rPr>
      <t xml:space="preserve">비고 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family val="2"/>
      </rPr>
      <t>출처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family val="2"/>
      </rPr>
      <t>가정 근거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</si>
  <si>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총수면시간 </t>
    </r>
    <r>
      <rPr>
        <b/>
        <sz val="10"/>
        <color rgb="FF1F1F1F"/>
        <rFont val="Arial"/>
        <charset val="1"/>
      </rPr>
      <t>(TST)</t>
    </r>
  </si>
  <si>
    <t>분</t>
  </si>
  <si>
    <r>
      <rPr>
        <i/>
        <sz val="9"/>
        <color rgb="FF808080"/>
        <rFont val="Noto Sans CJK SC"/>
        <family val="2"/>
      </rPr>
      <t xml:space="preserve">권장 </t>
    </r>
    <r>
      <rPr>
        <i/>
        <sz val="9"/>
        <color rgb="FF808080"/>
        <rFont val="Arial"/>
        <charset val="1"/>
      </rPr>
      <t>6~8</t>
    </r>
    <r>
      <rPr>
        <i/>
        <sz val="9"/>
        <color rgb="FF808080"/>
        <rFont val="Noto Sans CJK SC"/>
        <family val="2"/>
      </rPr>
      <t>시간</t>
    </r>
    <r>
      <rPr>
        <i/>
        <sz val="9"/>
        <color rgb="FF808080"/>
        <rFont val="Arial"/>
        <charset val="1"/>
      </rPr>
      <t xml:space="preserve">. </t>
    </r>
    <r>
      <rPr>
        <i/>
        <sz val="9"/>
        <color rgb="FF808080"/>
        <rFont val="Noto Sans CJK SC"/>
        <family val="2"/>
      </rPr>
      <t xml:space="preserve">목표 </t>
    </r>
    <r>
      <rPr>
        <i/>
        <sz val="9"/>
        <color rgb="FF808080"/>
        <rFont val="Arial"/>
        <charset val="1"/>
      </rPr>
      <t>7</t>
    </r>
    <r>
      <rPr>
        <i/>
        <sz val="9"/>
        <color rgb="FF808080"/>
        <rFont val="Noto Sans CJK SC"/>
        <family val="2"/>
      </rPr>
      <t>시간</t>
    </r>
    <r>
      <rPr>
        <i/>
        <sz val="9"/>
        <color rgb="FF808080"/>
        <rFont val="Arial"/>
        <charset val="1"/>
      </rPr>
      <t>/</t>
    </r>
    <r>
      <rPr>
        <i/>
        <sz val="9"/>
        <color rgb="FF808080"/>
        <rFont val="Noto Sans CJK SC"/>
        <family val="2"/>
      </rPr>
      <t>일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 xml:space="preserve">주 </t>
    </r>
    <r>
      <rPr>
        <i/>
        <sz val="9"/>
        <color rgb="FF808080"/>
        <rFont val="Arial"/>
        <charset val="1"/>
      </rPr>
      <t>49</t>
    </r>
    <r>
      <rPr>
        <i/>
        <sz val="9"/>
        <color rgb="FF808080"/>
        <rFont val="Noto Sans CJK SC"/>
        <family val="2"/>
      </rPr>
      <t>시간</t>
    </r>
    <r>
      <rPr>
        <i/>
        <sz val="9"/>
        <color rgb="FF808080"/>
        <rFont val="Arial"/>
        <charset val="1"/>
      </rPr>
      <t>) — 3</t>
    </r>
    <r>
      <rPr>
        <i/>
        <sz val="9"/>
        <color rgb="FF808080"/>
        <rFont val="Noto Sans CJK SC"/>
        <family val="2"/>
      </rPr>
      <t>페이지 제안 카드 기준</t>
    </r>
  </si>
  <si>
    <r>
      <rPr>
        <b/>
        <sz val="10"/>
        <color rgb="FF1F1F1F"/>
        <rFont val="Noto Sans CJK SC"/>
        <family val="2"/>
      </rPr>
      <t xml:space="preserve">수면효율 </t>
    </r>
    <r>
      <rPr>
        <b/>
        <sz val="10"/>
        <color rgb="FF1F1F1F"/>
        <rFont val="Arial"/>
        <charset val="1"/>
      </rPr>
      <t>(SE)</t>
    </r>
  </si>
  <si>
    <t>%</t>
  </si>
  <si>
    <r>
      <rPr>
        <i/>
        <sz val="9"/>
        <color rgb="FF808080"/>
        <rFont val="Noto Sans CJK SC"/>
        <family val="2"/>
      </rPr>
      <t xml:space="preserve">임상 참고범위 </t>
    </r>
    <r>
      <rPr>
        <i/>
        <sz val="9"/>
        <color rgb="FF808080"/>
        <rFont val="Arial"/>
        <charset val="1"/>
      </rPr>
      <t xml:space="preserve">85% </t>
    </r>
    <r>
      <rPr>
        <i/>
        <sz val="9"/>
        <color rgb="FF808080"/>
        <rFont val="Noto Sans CJK SC"/>
        <family val="2"/>
      </rPr>
      <t xml:space="preserve">이상 — </t>
    </r>
    <r>
      <rPr>
        <i/>
        <sz val="9"/>
        <color rgb="FF808080"/>
        <rFont val="Arial"/>
        <charset val="1"/>
      </rPr>
      <t>4</t>
    </r>
    <r>
      <rPr>
        <i/>
        <sz val="9"/>
        <color rgb="FF808080"/>
        <rFont val="Noto Sans CJK SC"/>
        <family val="2"/>
      </rPr>
      <t>페이지</t>
    </r>
  </si>
  <si>
    <r>
      <rPr>
        <b/>
        <sz val="10"/>
        <color rgb="FF1F1F1F"/>
        <rFont val="Noto Sans CJK SC"/>
        <family val="2"/>
      </rPr>
      <t xml:space="preserve">입면잠복기 </t>
    </r>
    <r>
      <rPr>
        <b/>
        <sz val="10"/>
        <color rgb="FF1F1F1F"/>
        <rFont val="Arial"/>
        <charset val="1"/>
      </rPr>
      <t>(SOL)</t>
    </r>
  </si>
  <si>
    <r>
      <rPr>
        <i/>
        <sz val="9"/>
        <color rgb="FF808080"/>
        <rFont val="Noto Sans CJK SC"/>
        <family val="2"/>
      </rPr>
      <t xml:space="preserve">임상 참고범위 </t>
    </r>
    <r>
      <rPr>
        <i/>
        <sz val="9"/>
        <color rgb="FF808080"/>
        <rFont val="Arial"/>
        <charset val="1"/>
      </rPr>
      <t>20</t>
    </r>
    <r>
      <rPr>
        <i/>
        <sz val="9"/>
        <color rgb="FF808080"/>
        <rFont val="Noto Sans CJK SC"/>
        <family val="2"/>
      </rPr>
      <t xml:space="preserve">분 이내 — </t>
    </r>
    <r>
      <rPr>
        <i/>
        <sz val="9"/>
        <color rgb="FF808080"/>
        <rFont val="Arial"/>
        <charset val="1"/>
      </rPr>
      <t>5</t>
    </r>
    <r>
      <rPr>
        <i/>
        <sz val="9"/>
        <color rgb="FF808080"/>
        <rFont val="Noto Sans CJK SC"/>
        <family val="2"/>
      </rPr>
      <t>페이지</t>
    </r>
  </si>
  <si>
    <t>각성횟수</t>
  </si>
  <si>
    <t>회</t>
  </si>
  <si>
    <r>
      <rPr>
        <i/>
        <sz val="9"/>
        <color rgb="FF808080"/>
        <rFont val="Noto Sans CJK SC"/>
        <family val="2"/>
      </rPr>
      <t xml:space="preserve">임상 참고범위 </t>
    </r>
    <r>
      <rPr>
        <i/>
        <sz val="9"/>
        <color rgb="FF808080"/>
        <rFont val="Arial"/>
        <charset val="1"/>
      </rPr>
      <t>2</t>
    </r>
    <r>
      <rPr>
        <i/>
        <sz val="9"/>
        <color rgb="FF808080"/>
        <rFont val="Noto Sans CJK SC"/>
        <family val="2"/>
      </rPr>
      <t xml:space="preserve">회 이하 — </t>
    </r>
    <r>
      <rPr>
        <i/>
        <sz val="9"/>
        <color rgb="FF808080"/>
        <rFont val="Arial"/>
        <charset val="1"/>
      </rPr>
      <t>6</t>
    </r>
    <r>
      <rPr>
        <i/>
        <sz val="9"/>
        <color rgb="FF808080"/>
        <rFont val="Noto Sans CJK SC"/>
        <family val="2"/>
      </rPr>
      <t>페이지</t>
    </r>
  </si>
  <si>
    <r>
      <rPr>
        <b/>
        <sz val="10"/>
        <color rgb="FF1F1F1F"/>
        <rFont val="Noto Sans CJK SC"/>
        <family val="2"/>
      </rPr>
      <t xml:space="preserve">심박수 </t>
    </r>
    <r>
      <rPr>
        <b/>
        <sz val="10"/>
        <color rgb="FF1F1F1F"/>
        <rFont val="Arial"/>
        <charset val="1"/>
      </rPr>
      <t xml:space="preserve">(HR, </t>
    </r>
    <r>
      <rPr>
        <b/>
        <sz val="10"/>
        <color rgb="FF1F1F1F"/>
        <rFont val="Noto Sans CJK SC"/>
        <family val="2"/>
      </rPr>
      <t>수면중</t>
    </r>
    <r>
      <rPr>
        <b/>
        <sz val="10"/>
        <color rgb="FF1F1F1F"/>
        <rFont val="Arial"/>
        <charset val="1"/>
      </rPr>
      <t>)</t>
    </r>
  </si>
  <si>
    <t>bpm</t>
  </si>
  <si>
    <r>
      <rPr>
        <i/>
        <sz val="9"/>
        <color rgb="FF808080"/>
        <rFont val="Noto Sans CJK SC"/>
        <family val="2"/>
      </rPr>
      <t xml:space="preserve">임상 참고범위 </t>
    </r>
    <r>
      <rPr>
        <i/>
        <sz val="9"/>
        <color rgb="FF808080"/>
        <rFont val="Arial"/>
        <charset val="1"/>
      </rPr>
      <t>45~70bpm — 8</t>
    </r>
    <r>
      <rPr>
        <i/>
        <sz val="9"/>
        <color rgb="FF808080"/>
        <rFont val="Noto Sans CJK SC"/>
        <family val="2"/>
      </rPr>
      <t>페이지</t>
    </r>
  </si>
  <si>
    <r>
      <rPr>
        <b/>
        <sz val="10"/>
        <color rgb="FF1F1F1F"/>
        <rFont val="Noto Sans CJK SC"/>
        <family val="2"/>
      </rPr>
      <t xml:space="preserve">호흡수 </t>
    </r>
    <r>
      <rPr>
        <b/>
        <sz val="10"/>
        <color rgb="FF1F1F1F"/>
        <rFont val="Arial"/>
        <charset val="1"/>
      </rPr>
      <t xml:space="preserve">(RR, </t>
    </r>
    <r>
      <rPr>
        <b/>
        <sz val="10"/>
        <color rgb="FF1F1F1F"/>
        <rFont val="Noto Sans CJK SC"/>
        <family val="2"/>
      </rPr>
      <t>수면중</t>
    </r>
    <r>
      <rPr>
        <b/>
        <sz val="10"/>
        <color rgb="FF1F1F1F"/>
        <rFont val="Arial"/>
        <charset val="1"/>
      </rPr>
      <t>)</t>
    </r>
  </si>
  <si>
    <r>
      <rPr>
        <sz val="10"/>
        <rFont val="Noto Sans CJK SC"/>
        <family val="2"/>
      </rPr>
      <t>회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분</t>
    </r>
  </si>
  <si>
    <r>
      <rPr>
        <i/>
        <sz val="9"/>
        <color rgb="FF808080"/>
        <rFont val="Noto Sans CJK SC"/>
        <family val="2"/>
      </rPr>
      <t xml:space="preserve">임상 참고범위 </t>
    </r>
    <r>
      <rPr>
        <i/>
        <sz val="9"/>
        <color rgb="FF808080"/>
        <rFont val="Arial"/>
        <charset val="1"/>
      </rPr>
      <t>12~20</t>
    </r>
    <r>
      <rPr>
        <i/>
        <sz val="9"/>
        <color rgb="FF808080"/>
        <rFont val="Noto Sans CJK SC"/>
        <family val="2"/>
      </rPr>
      <t>회</t>
    </r>
    <r>
      <rPr>
        <i/>
        <sz val="9"/>
        <color rgb="FF808080"/>
        <rFont val="Arial"/>
        <charset val="1"/>
      </rPr>
      <t>/</t>
    </r>
    <r>
      <rPr>
        <i/>
        <sz val="9"/>
        <color rgb="FF808080"/>
        <rFont val="Noto Sans CJK SC"/>
        <family val="2"/>
      </rPr>
      <t xml:space="preserve">분 — </t>
    </r>
    <r>
      <rPr>
        <i/>
        <sz val="9"/>
        <color rgb="FF808080"/>
        <rFont val="Arial"/>
        <charset val="1"/>
      </rPr>
      <t>9</t>
    </r>
    <r>
      <rPr>
        <i/>
        <sz val="9"/>
        <color rgb="FF808080"/>
        <rFont val="Noto Sans CJK SC"/>
        <family val="2"/>
      </rPr>
      <t>페이지</t>
    </r>
  </si>
  <si>
    <t>SpO2</t>
  </si>
  <si>
    <r>
      <rPr>
        <i/>
        <sz val="9"/>
        <color rgb="FF808080"/>
        <rFont val="Noto Sans CJK SC"/>
        <family val="2"/>
      </rPr>
      <t xml:space="preserve">임상 참고범위 </t>
    </r>
    <r>
      <rPr>
        <i/>
        <sz val="9"/>
        <color rgb="FF808080"/>
        <rFont val="Arial"/>
        <charset val="1"/>
      </rPr>
      <t xml:space="preserve">95% </t>
    </r>
    <r>
      <rPr>
        <i/>
        <sz val="9"/>
        <color rgb="FF808080"/>
        <rFont val="Noto Sans CJK SC"/>
        <family val="2"/>
      </rPr>
      <t xml:space="preserve">이상 — </t>
    </r>
    <r>
      <rPr>
        <i/>
        <sz val="9"/>
        <color rgb="FF808080"/>
        <rFont val="Arial"/>
        <charset val="1"/>
      </rPr>
      <t>10</t>
    </r>
    <r>
      <rPr>
        <i/>
        <sz val="9"/>
        <color rgb="FF808080"/>
        <rFont val="Noto Sans CJK SC"/>
        <family val="2"/>
      </rPr>
      <t>페이지</t>
    </r>
  </si>
  <si>
    <r>
      <rPr>
        <b/>
        <sz val="10"/>
        <color rgb="FF1F1F1F"/>
        <rFont val="Noto Sans CJK SC"/>
        <family val="2"/>
      </rPr>
      <t xml:space="preserve">취침시각 규칙성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표준편차</t>
    </r>
    <r>
      <rPr>
        <b/>
        <sz val="10"/>
        <color rgb="FF1F1F1F"/>
        <rFont val="Arial"/>
        <charset val="1"/>
      </rPr>
      <t>)</t>
    </r>
  </si>
  <si>
    <r>
      <rPr>
        <i/>
        <sz val="9"/>
        <color rgb="FF808080"/>
        <rFont val="Noto Sans CJK SC"/>
        <family val="2"/>
      </rPr>
      <t xml:space="preserve">참고범위 </t>
    </r>
    <r>
      <rPr>
        <i/>
        <sz val="9"/>
        <color rgb="FF808080"/>
        <rFont val="Arial"/>
        <charset val="1"/>
      </rPr>
      <t>20</t>
    </r>
    <r>
      <rPr>
        <i/>
        <sz val="9"/>
        <color rgb="FF808080"/>
        <rFont val="Noto Sans CJK SC"/>
        <family val="2"/>
      </rPr>
      <t xml:space="preserve">분 이내 — </t>
    </r>
    <r>
      <rPr>
        <i/>
        <sz val="9"/>
        <color rgb="FF808080"/>
        <rFont val="Arial"/>
        <charset val="1"/>
      </rPr>
      <t>11</t>
    </r>
    <r>
      <rPr>
        <i/>
        <sz val="9"/>
        <color rgb="FF808080"/>
        <rFont val="Noto Sans CJK SC"/>
        <family val="2"/>
      </rPr>
      <t>페이지</t>
    </r>
  </si>
  <si>
    <r>
      <rPr>
        <b/>
        <sz val="10"/>
        <color rgb="FF1F1F1F"/>
        <rFont val="Noto Sans CJK SC"/>
        <family val="2"/>
      </rPr>
      <t xml:space="preserve">기상시각 규칙성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표준편차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</si>
  <si>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활동시간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주간 합계 권장</t>
    </r>
    <r>
      <rPr>
        <b/>
        <sz val="10"/>
        <color rgb="FF1F1F1F"/>
        <rFont val="Arial"/>
        <charset val="1"/>
      </rPr>
      <t>)</t>
    </r>
  </si>
  <si>
    <r>
      <rPr>
        <sz val="10"/>
        <rFont val="Noto Sans CJK SC"/>
        <family val="2"/>
      </rPr>
      <t>분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주</t>
    </r>
  </si>
  <si>
    <r>
      <rPr>
        <i/>
        <sz val="9"/>
        <color rgb="FF808080"/>
        <rFont val="Arial"/>
        <charset val="1"/>
      </rPr>
      <t xml:space="preserve">ACSM </t>
    </r>
    <r>
      <rPr>
        <i/>
        <sz val="9"/>
        <color rgb="FF808080"/>
        <rFont val="Noto Sans CJK SC"/>
        <family val="2"/>
      </rPr>
      <t>등 국제 권고</t>
    </r>
    <r>
      <rPr>
        <i/>
        <sz val="9"/>
        <color rgb="FF808080"/>
        <rFont val="Arial"/>
        <charset val="1"/>
      </rPr>
      <t xml:space="preserve">, </t>
    </r>
    <r>
      <rPr>
        <i/>
        <sz val="9"/>
        <color rgb="FF808080"/>
        <rFont val="Noto Sans CJK SC"/>
        <family val="2"/>
      </rPr>
      <t xml:space="preserve">암 치료 후 회복기 중강도 유산소 — </t>
    </r>
    <r>
      <rPr>
        <i/>
        <sz val="9"/>
        <color rgb="FF808080"/>
        <rFont val="Arial"/>
        <charset val="1"/>
      </rPr>
      <t>13</t>
    </r>
    <r>
      <rPr>
        <i/>
        <sz val="9"/>
        <color rgb="FF808080"/>
        <rFont val="Noto Sans CJK SC"/>
        <family val="2"/>
      </rPr>
      <t>페이지</t>
    </r>
  </si>
  <si>
    <r>
      <rPr>
        <b/>
        <sz val="10"/>
        <color rgb="FF1F1F1F"/>
        <rFont val="Noto Sans CJK SC"/>
        <family val="2"/>
      </rPr>
      <t xml:space="preserve">활동시간 목표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일일</t>
    </r>
    <r>
      <rPr>
        <b/>
        <sz val="10"/>
        <color rgb="FF1F1F1F"/>
        <rFont val="Arial"/>
        <charset val="1"/>
      </rPr>
      <t xml:space="preserve">, </t>
    </r>
    <r>
      <rPr>
        <b/>
        <sz val="10"/>
        <color rgb="FF1F1F1F"/>
        <rFont val="Noto Sans CJK SC"/>
        <family val="2"/>
      </rPr>
      <t>루틴제안용</t>
    </r>
    <r>
      <rPr>
        <b/>
        <sz val="10"/>
        <color rgb="FF1F1F1F"/>
        <rFont val="Arial"/>
        <charset val="1"/>
      </rPr>
      <t>)</t>
    </r>
  </si>
  <si>
    <r>
      <rPr>
        <sz val="10"/>
        <rFont val="Noto Sans CJK SC"/>
        <family val="2"/>
      </rPr>
      <t>분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일</t>
    </r>
  </si>
  <si>
    <r>
      <rPr>
        <i/>
        <sz val="9"/>
        <color rgb="FF808080"/>
        <rFont val="Arial"/>
        <charset val="1"/>
      </rPr>
      <t>18</t>
    </r>
    <r>
      <rPr>
        <i/>
        <sz val="9"/>
        <color rgb="FF808080"/>
        <rFont val="Noto Sans CJK SC"/>
        <family val="2"/>
      </rPr>
      <t>페이지 제안 카드 목표치 — 조정 가능</t>
    </r>
  </si>
  <si>
    <r>
      <rPr>
        <b/>
        <sz val="10"/>
        <color rgb="FF1F1F1F"/>
        <rFont val="Noto Sans CJK SC"/>
        <family val="2"/>
      </rPr>
      <t xml:space="preserve">이상신호 편차기준 </t>
    </r>
    <r>
      <rPr>
        <b/>
        <sz val="10"/>
        <color rgb="FF1F1F1F"/>
        <rFont val="Arial"/>
        <charset val="1"/>
      </rPr>
      <t xml:space="preserve">- </t>
    </r>
    <r>
      <rPr>
        <b/>
        <sz val="10"/>
        <color rgb="FF1F1F1F"/>
        <rFont val="Noto Sans CJK SC"/>
        <family val="2"/>
      </rPr>
      <t>심박수</t>
    </r>
  </si>
  <si>
    <r>
      <rPr>
        <i/>
        <sz val="9"/>
        <color rgb="FF808080"/>
        <rFont val="Noto Sans CJK SC"/>
        <family val="2"/>
      </rPr>
      <t>주간 평소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>평균</t>
    </r>
    <r>
      <rPr>
        <i/>
        <sz val="9"/>
        <color rgb="FF808080"/>
        <rFont val="Arial"/>
        <charset val="1"/>
      </rPr>
      <t xml:space="preserve">) </t>
    </r>
    <r>
      <rPr>
        <i/>
        <sz val="9"/>
        <color rgb="FF808080"/>
        <rFont val="Noto Sans CJK SC"/>
        <family val="2"/>
      </rPr>
      <t>대비 이 값 이상 높으면 이상 후보로 판정 — 원문 비공개</t>
    </r>
    <r>
      <rPr>
        <i/>
        <sz val="9"/>
        <color rgb="FF808080"/>
        <rFont val="Arial"/>
        <charset val="1"/>
      </rPr>
      <t xml:space="preserve">, </t>
    </r>
    <r>
      <rPr>
        <i/>
        <sz val="9"/>
        <color rgb="FF808080"/>
        <rFont val="Noto Sans CJK SC"/>
        <family val="2"/>
      </rPr>
      <t>합리적 기본값 가정</t>
    </r>
  </si>
  <si>
    <r>
      <rPr>
        <b/>
        <sz val="10"/>
        <color rgb="FF1F1F1F"/>
        <rFont val="Noto Sans CJK SC"/>
        <family val="2"/>
      </rPr>
      <t xml:space="preserve">이상신호 편차기준 </t>
    </r>
    <r>
      <rPr>
        <b/>
        <sz val="10"/>
        <color rgb="FF1F1F1F"/>
        <rFont val="Arial"/>
        <charset val="1"/>
      </rPr>
      <t xml:space="preserve">- </t>
    </r>
    <r>
      <rPr>
        <b/>
        <sz val="10"/>
        <color rgb="FF1F1F1F"/>
        <rFont val="Noto Sans CJK SC"/>
        <family val="2"/>
      </rPr>
      <t>호흡수</t>
    </r>
  </si>
  <si>
    <t>주간 평소 대비 이 값 이상 높으면 이상 후보 — 가정값</t>
  </si>
  <si>
    <r>
      <rPr>
        <b/>
        <sz val="10"/>
        <color rgb="FF1F1F1F"/>
        <rFont val="Noto Sans CJK SC"/>
        <family val="2"/>
      </rPr>
      <t xml:space="preserve">이상신호 편차기준 </t>
    </r>
    <r>
      <rPr>
        <b/>
        <sz val="10"/>
        <color rgb="FF1F1F1F"/>
        <rFont val="Arial"/>
        <charset val="1"/>
      </rPr>
      <t>- SpO2</t>
    </r>
  </si>
  <si>
    <t>%p</t>
  </si>
  <si>
    <t>주간 평소 대비 이 값 이상 낮으면 이상 후보 — 가정값</t>
  </si>
  <si>
    <r>
      <rPr>
        <b/>
        <sz val="10"/>
        <color rgb="FF1F1F1F"/>
        <rFont val="Noto Sans CJK SC"/>
        <family val="2"/>
      </rPr>
      <t xml:space="preserve">활동 대사당량 가정 </t>
    </r>
    <r>
      <rPr>
        <b/>
        <sz val="10"/>
        <color rgb="FF1F1F1F"/>
        <rFont val="Arial"/>
        <charset val="1"/>
      </rPr>
      <t>(MET)</t>
    </r>
  </si>
  <si>
    <t>MET</t>
  </si>
  <si>
    <r>
      <rPr>
        <i/>
        <sz val="9"/>
        <color rgb="FF808080"/>
        <rFont val="Noto Sans CJK SC"/>
        <family val="2"/>
      </rPr>
      <t>중강도 활동 가정</t>
    </r>
    <r>
      <rPr>
        <i/>
        <sz val="9"/>
        <color rgb="FF808080"/>
        <rFont val="Arial"/>
        <charset val="1"/>
      </rPr>
      <t xml:space="preserve">. </t>
    </r>
    <r>
      <rPr>
        <i/>
        <sz val="9"/>
        <color rgb="FF808080"/>
        <rFont val="Noto Sans CJK SC"/>
        <family val="2"/>
      </rPr>
      <t xml:space="preserve">실제 활동 강도에 따라 조정 — </t>
    </r>
    <r>
      <rPr>
        <i/>
        <sz val="9"/>
        <color rgb="FF808080"/>
        <rFont val="Arial"/>
        <charset val="1"/>
      </rPr>
      <t>14</t>
    </r>
    <r>
      <rPr>
        <i/>
        <sz val="9"/>
        <color rgb="FF808080"/>
        <rFont val="Noto Sans CJK SC"/>
        <family val="2"/>
      </rPr>
      <t>페이지 추정 칼로리 계산용</t>
    </r>
  </si>
  <si>
    <t>목표 수면시간</t>
  </si>
  <si>
    <t>시간</t>
  </si>
  <si>
    <r>
      <rPr>
        <i/>
        <sz val="9"/>
        <color rgb="FF808080"/>
        <rFont val="Arial"/>
        <charset val="1"/>
      </rPr>
      <t>11</t>
    </r>
    <r>
      <rPr>
        <i/>
        <sz val="9"/>
        <color rgb="FF808080"/>
        <rFont val="Noto Sans CJK SC"/>
        <family val="2"/>
      </rPr>
      <t>페이지 목표 취침시각 역산용</t>
    </r>
  </si>
  <si>
    <t>목표 수면효율</t>
  </si>
  <si>
    <t>기상시각 허용 변동폭</t>
  </si>
  <si>
    <r>
      <rPr>
        <i/>
        <sz val="9"/>
        <color rgb="FF808080"/>
        <rFont val="Arial"/>
        <charset val="1"/>
      </rPr>
      <t>18</t>
    </r>
    <r>
      <rPr>
        <i/>
        <sz val="9"/>
        <color rgb="FF808080"/>
        <rFont val="Noto Sans CJK SC"/>
        <family val="2"/>
      </rPr>
      <t xml:space="preserve">페이지 체크리스트 </t>
    </r>
    <r>
      <rPr>
        <i/>
        <sz val="9"/>
        <color rgb="FF808080"/>
        <rFont val="Arial"/>
        <charset val="1"/>
      </rPr>
      <t>1</t>
    </r>
    <r>
      <rPr>
        <i/>
        <sz val="9"/>
        <color rgb="FF808080"/>
        <rFont val="Noto Sans CJK SC"/>
        <family val="2"/>
      </rPr>
      <t>번 기준</t>
    </r>
  </si>
  <si>
    <r>
      <rPr>
        <b/>
        <sz val="10"/>
        <color rgb="FF1F1F1F"/>
        <rFont val="Noto Sans CJK SC"/>
        <family val="2"/>
      </rPr>
      <t>수면효율 계산</t>
    </r>
    <r>
      <rPr>
        <b/>
        <sz val="10"/>
        <color rgb="FF1F1F1F"/>
        <rFont val="Arial"/>
        <charset val="1"/>
      </rPr>
      <t>-</t>
    </r>
    <r>
      <rPr>
        <b/>
        <sz val="10"/>
        <color rgb="FF1F1F1F"/>
        <rFont val="Noto Sans CJK SC"/>
        <family val="2"/>
      </rPr>
      <t>기기값 차이 허용기준</t>
    </r>
  </si>
  <si>
    <r>
      <rPr>
        <i/>
        <sz val="9"/>
        <color rgb="FF808080"/>
        <rFont val="Noto Sans CJK SC"/>
        <family val="2"/>
      </rPr>
      <t>저희가 계산한 수면효율</t>
    </r>
    <r>
      <rPr>
        <i/>
        <sz val="9"/>
        <color rgb="FF808080"/>
        <rFont val="Arial"/>
        <charset val="1"/>
      </rPr>
      <t>(TST/TIB×100)</t>
    </r>
    <r>
      <rPr>
        <i/>
        <sz val="9"/>
        <color rgb="FF808080"/>
        <rFont val="Noto Sans CJK SC"/>
        <family val="2"/>
      </rPr>
      <t xml:space="preserve">과 웨어러블이 날짜별로 따로 제공하는 수면효율의 차이가 이 값 이상이면 </t>
    </r>
    <r>
      <rPr>
        <i/>
        <sz val="9"/>
        <color rgb="FF808080"/>
        <rFont val="Arial"/>
        <charset val="1"/>
      </rPr>
      <t>S4 'SE_</t>
    </r>
    <r>
      <rPr>
        <i/>
        <sz val="9"/>
        <color rgb="FF808080"/>
        <rFont val="Noto Sans CJK SC"/>
        <family val="2"/>
      </rPr>
      <t>비교</t>
    </r>
    <r>
      <rPr>
        <i/>
        <sz val="9"/>
        <color rgb="FF808080"/>
        <rFont val="Arial"/>
        <charset val="1"/>
      </rPr>
      <t>_QA'</t>
    </r>
    <r>
      <rPr>
        <i/>
        <sz val="9"/>
        <color rgb="FF808080"/>
        <rFont val="Noto Sans CJK SC"/>
        <family val="2"/>
      </rPr>
      <t xml:space="preserve">에서 </t>
    </r>
    <r>
      <rPr>
        <i/>
        <sz val="9"/>
        <color rgb="FF808080"/>
        <rFont val="Arial"/>
        <charset val="1"/>
      </rPr>
      <t>'</t>
    </r>
    <r>
      <rPr>
        <i/>
        <sz val="9"/>
        <color rgb="FF808080"/>
        <rFont val="Noto Sans CJK SC"/>
        <family val="2"/>
      </rPr>
      <t>차이 큼</t>
    </r>
    <r>
      <rPr>
        <i/>
        <sz val="9"/>
        <color rgb="FF808080"/>
        <rFont val="Arial"/>
        <charset val="1"/>
      </rPr>
      <t>'</t>
    </r>
    <r>
      <rPr>
        <i/>
        <sz val="9"/>
        <color rgb="FF808080"/>
        <rFont val="Noto Sans CJK SC"/>
        <family val="2"/>
      </rPr>
      <t>으로 표시</t>
    </r>
    <r>
      <rPr>
        <i/>
        <sz val="9"/>
        <color rgb="FF808080"/>
        <rFont val="Arial"/>
        <charset val="1"/>
      </rPr>
      <t>(17</t>
    </r>
    <r>
      <rPr>
        <i/>
        <sz val="9"/>
        <color rgb="FF808080"/>
        <rFont val="Noto Sans CJK SC"/>
        <family val="2"/>
      </rPr>
      <t>차</t>
    </r>
    <r>
      <rPr>
        <i/>
        <sz val="9"/>
        <color rgb="FF808080"/>
        <rFont val="Arial"/>
        <charset val="1"/>
      </rPr>
      <t xml:space="preserve">) — </t>
    </r>
    <r>
      <rPr>
        <i/>
        <sz val="9"/>
        <color rgb="FF808080"/>
        <rFont val="Noto Sans CJK SC"/>
        <family val="2"/>
      </rPr>
      <t xml:space="preserve">샤오미가 공개한 공식도 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>실제수면시간</t>
    </r>
    <r>
      <rPr>
        <i/>
        <sz val="9"/>
        <color rgb="FF808080"/>
        <rFont val="Arial"/>
        <charset val="1"/>
      </rPr>
      <t>÷</t>
    </r>
    <r>
      <rPr>
        <i/>
        <sz val="9"/>
        <color rgb="FF808080"/>
        <rFont val="Noto Sans CJK SC"/>
        <family val="2"/>
      </rPr>
      <t>침대에있던시간</t>
    </r>
    <r>
      <rPr>
        <i/>
        <sz val="9"/>
        <color rgb="FF808080"/>
        <rFont val="Arial"/>
        <charset val="1"/>
      </rPr>
      <t>)×100</t>
    </r>
    <r>
      <rPr>
        <i/>
        <sz val="9"/>
        <color rgb="FF808080"/>
        <rFont val="Noto Sans CJK SC"/>
        <family val="2"/>
      </rPr>
      <t>으로 저희 계산식과 완전히 동일함을 확인</t>
    </r>
    <r>
      <rPr>
        <i/>
        <sz val="9"/>
        <color rgb="FF808080"/>
        <rFont val="Arial"/>
        <charset val="1"/>
      </rPr>
      <t>(18</t>
    </r>
    <r>
      <rPr>
        <i/>
        <sz val="9"/>
        <color rgb="FF808080"/>
        <rFont val="Noto Sans CJK SC"/>
        <family val="2"/>
      </rPr>
      <t>차</t>
    </r>
    <r>
      <rPr>
        <i/>
        <sz val="9"/>
        <color rgb="FF808080"/>
        <rFont val="Arial"/>
        <charset val="1"/>
      </rPr>
      <t>)</t>
    </r>
    <r>
      <rPr>
        <i/>
        <sz val="9"/>
        <color rgb="FF808080"/>
        <rFont val="Noto Sans CJK SC"/>
        <family val="2"/>
      </rPr>
      <t>했으므로</t>
    </r>
    <r>
      <rPr>
        <i/>
        <sz val="9"/>
        <color rgb="FF808080"/>
        <rFont val="Arial"/>
        <charset val="1"/>
      </rPr>
      <t xml:space="preserve">, </t>
    </r>
    <r>
      <rPr>
        <i/>
        <sz val="9"/>
        <color rgb="FF808080"/>
        <rFont val="Noto Sans CJK SC"/>
        <family val="2"/>
      </rPr>
      <t xml:space="preserve">계산식 자체 때문에 차이가 나는 것은 아니고 </t>
    </r>
    <r>
      <rPr>
        <i/>
        <sz val="9"/>
        <color rgb="FF808080"/>
        <rFont val="Arial"/>
        <charset val="1"/>
      </rPr>
      <t>'</t>
    </r>
    <r>
      <rPr>
        <i/>
        <sz val="9"/>
        <color rgb="FF808080"/>
        <rFont val="Noto Sans CJK SC"/>
        <family val="2"/>
      </rPr>
      <t>침대에 있던 시간</t>
    </r>
    <r>
      <rPr>
        <i/>
        <sz val="9"/>
        <color rgb="FF808080"/>
        <rFont val="Arial"/>
        <charset val="1"/>
      </rPr>
      <t>(TIB)'</t>
    </r>
    <r>
      <rPr>
        <i/>
        <sz val="9"/>
        <color rgb="FF808080"/>
        <rFont val="Noto Sans CJK SC"/>
        <family val="2"/>
      </rPr>
      <t>을 구하는 방식이 다른 것</t>
    </r>
    <r>
      <rPr>
        <i/>
        <sz val="9"/>
        <color rgb="FF808080"/>
        <rFont val="Arial"/>
        <charset val="1"/>
      </rPr>
      <t>(</t>
    </r>
    <r>
      <rPr>
        <i/>
        <sz val="9"/>
        <color rgb="FF808080"/>
        <rFont val="Noto Sans CJK SC"/>
        <family val="2"/>
      </rPr>
      <t xml:space="preserve">사용자 직접 입력 </t>
    </r>
    <r>
      <rPr>
        <i/>
        <sz val="9"/>
        <color rgb="FF808080"/>
        <rFont val="Arial"/>
        <charset val="1"/>
      </rPr>
      <t xml:space="preserve">vs </t>
    </r>
    <r>
      <rPr>
        <i/>
        <sz val="9"/>
        <color rgb="FF808080"/>
        <rFont val="Noto Sans CJK SC"/>
        <family val="2"/>
      </rPr>
      <t>기기 가속도계 자동 감지</t>
    </r>
    <r>
      <rPr>
        <i/>
        <sz val="9"/>
        <color rgb="FF808080"/>
        <rFont val="Arial"/>
        <charset val="1"/>
      </rPr>
      <t>)</t>
    </r>
    <r>
      <rPr>
        <i/>
        <sz val="9"/>
        <color rgb="FF808080"/>
        <rFont val="Noto Sans CJK SC"/>
        <family val="2"/>
      </rPr>
      <t>이 유일한 원인 후보임</t>
    </r>
  </si>
  <si>
    <r>
      <rPr>
        <b/>
        <sz val="16"/>
        <color rgb="FFFFFFFF"/>
        <rFont val="Arial"/>
        <charset val="1"/>
      </rPr>
      <t xml:space="preserve">S4. </t>
    </r>
    <r>
      <rPr>
        <b/>
        <sz val="16"/>
        <color rgb="FFFFFFFF"/>
        <rFont val="Noto Sans CJK SC"/>
        <family val="2"/>
      </rPr>
      <t xml:space="preserve">일별 계산 </t>
    </r>
    <r>
      <rPr>
        <b/>
        <sz val="16"/>
        <color rgb="FFFFFFFF"/>
        <rFont val="Arial"/>
        <charset val="1"/>
      </rPr>
      <t>(</t>
    </r>
    <r>
      <rPr>
        <b/>
        <sz val="16"/>
        <color rgb="FFFFFFFF"/>
        <rFont val="Noto Sans CJK SC"/>
        <family val="2"/>
      </rPr>
      <t>전부 수식</t>
    </r>
    <r>
      <rPr>
        <b/>
        <sz val="16"/>
        <color rgb="FFFFFFFF"/>
        <rFont val="Arial"/>
        <charset val="1"/>
      </rPr>
      <t>)</t>
    </r>
  </si>
  <si>
    <r>
      <rPr>
        <i/>
        <sz val="10"/>
        <color rgb="FF595959"/>
        <rFont val="Arial"/>
        <charset val="1"/>
      </rPr>
      <t xml:space="preserve">S1·S2·S3 </t>
    </r>
    <r>
      <rPr>
        <i/>
        <sz val="10"/>
        <color rgb="FF595959"/>
        <rFont val="Noto Sans CJK SC"/>
        <family val="2"/>
      </rPr>
      <t>값이 바뀌면 이 시트가 전부 자동으로 다시 계산됩니다</t>
    </r>
    <r>
      <rPr>
        <i/>
        <sz val="10"/>
        <color rgb="FF595959"/>
        <rFont val="Arial"/>
        <charset val="1"/>
      </rPr>
      <t xml:space="preserve">. </t>
    </r>
    <r>
      <rPr>
        <i/>
        <sz val="10"/>
        <color rgb="FF595959"/>
        <rFont val="Noto Sans CJK SC"/>
        <family val="2"/>
      </rPr>
      <t>직접 값을 입력하지 마세요</t>
    </r>
    <r>
      <rPr>
        <i/>
        <sz val="10"/>
        <color rgb="FF595959"/>
        <rFont val="Arial"/>
        <charset val="1"/>
      </rPr>
      <t>.</t>
    </r>
  </si>
  <si>
    <r>
      <rPr>
        <b/>
        <sz val="10"/>
        <color rgb="FFFFFFFF"/>
        <rFont val="Noto Sans CJK SC"/>
        <family val="2"/>
      </rPr>
      <t>취침시각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분환산</t>
    </r>
  </si>
  <si>
    <r>
      <rPr>
        <b/>
        <sz val="10"/>
        <color rgb="FFFFFFFF"/>
        <rFont val="Noto Sans CJK SC"/>
        <family val="2"/>
      </rPr>
      <t>기상시각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</si>
  <si>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침상시간</t>
    </r>
    <r>
      <rPr>
        <b/>
        <sz val="10"/>
        <color rgb="FFFFFFFF"/>
        <rFont val="Arial"/>
        <charset val="1"/>
      </rPr>
      <t>_TIB_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</si>
  <si>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총수면시간</t>
    </r>
    <r>
      <rPr>
        <b/>
        <sz val="10"/>
        <color rgb="FFFFFFFF"/>
        <rFont val="Arial"/>
        <charset val="1"/>
      </rPr>
      <t>_TST_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</si>
  <si>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각성후재입면</t>
    </r>
    <r>
      <rPr>
        <b/>
        <sz val="10"/>
        <color rgb="FFFFFFFF"/>
        <rFont val="Arial"/>
        <charset val="1"/>
      </rPr>
      <t>_WASO_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</si>
  <si>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수면효율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계산</t>
    </r>
    <r>
      <rPr>
        <b/>
        <sz val="10"/>
        <color rgb="FFFFFFFF"/>
        <rFont val="Arial"/>
        <charset val="1"/>
      </rPr>
      <t xml:space="preserve">_%(TST/TIB, </t>
    </r>
    <r>
      <rPr>
        <b/>
        <sz val="10"/>
        <color rgb="FFFFFFFF"/>
        <rFont val="Noto Sans CJK SC"/>
        <family val="2"/>
      </rPr>
      <t>참고용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</si>
  <si>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family val="2"/>
      </rPr>
      <t>깊은수면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비율</t>
    </r>
    <r>
      <rPr>
        <b/>
        <sz val="10"/>
        <color rgb="FFFFFFFF"/>
        <rFont val="Arial"/>
        <charset val="1"/>
      </rPr>
      <t>_%</t>
    </r>
  </si>
  <si>
    <r>
      <rPr>
        <b/>
        <sz val="10"/>
        <color rgb="FFFFFFFF"/>
        <rFont val="Noto Sans CJK SC"/>
        <family val="2"/>
      </rPr>
      <t>얕은수면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비율</t>
    </r>
    <r>
      <rPr>
        <b/>
        <sz val="10"/>
        <color rgb="FFFFFFFF"/>
        <rFont val="Arial"/>
        <charset val="1"/>
      </rPr>
      <t>_%</t>
    </r>
  </si>
  <si>
    <r>
      <rPr>
        <b/>
        <sz val="10"/>
        <color rgb="FFFFFFFF"/>
        <rFont val="Noto Sans CJK SC"/>
        <family val="2"/>
      </rPr>
      <t>렘수면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비율</t>
    </r>
    <r>
      <rPr>
        <b/>
        <sz val="10"/>
        <color rgb="FFFFFFFF"/>
        <rFont val="Arial"/>
        <charset val="1"/>
      </rPr>
      <t>_%</t>
    </r>
  </si>
  <si>
    <r>
      <rPr>
        <b/>
        <sz val="10"/>
        <color rgb="FFFFFFFF"/>
        <rFont val="Noto Sans CJK SC"/>
        <family val="2"/>
      </rPr>
      <t>입면잠복기</t>
    </r>
    <r>
      <rPr>
        <b/>
        <sz val="10"/>
        <color rgb="FFFFFFFF"/>
        <rFont val="Arial"/>
        <charset val="1"/>
      </rPr>
      <t>_SOL_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</si>
  <si>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심박수</t>
    </r>
    <r>
      <rPr>
        <b/>
        <sz val="10"/>
        <color rgb="FFFFFFFF"/>
        <rFont val="Arial"/>
        <charset val="1"/>
      </rPr>
      <t>_HR</t>
    </r>
  </si>
  <si>
    <r>
      <rPr>
        <b/>
        <sz val="10"/>
        <color rgb="FFFFFFFF"/>
        <rFont val="Noto Sans CJK SC"/>
        <family val="2"/>
      </rPr>
      <t>호흡수</t>
    </r>
    <r>
      <rPr>
        <b/>
        <sz val="10"/>
        <color rgb="FFFFFFFF"/>
        <rFont val="Arial"/>
        <charset val="1"/>
      </rPr>
      <t>_RR</t>
    </r>
  </si>
  <si>
    <r>
      <rPr>
        <b/>
        <sz val="10"/>
        <color rgb="FFFFFFFF"/>
        <rFont val="Arial"/>
        <charset val="1"/>
      </rPr>
      <t>SpO2_</t>
    </r>
    <r>
      <rPr>
        <b/>
        <sz val="10"/>
        <color rgb="FFFFFFFF"/>
        <rFont val="Noto Sans CJK SC"/>
        <family val="2"/>
      </rPr>
      <t>평균</t>
    </r>
  </si>
  <si>
    <r>
      <rPr>
        <b/>
        <sz val="10"/>
        <color rgb="FFFFFFFF"/>
        <rFont val="Arial"/>
        <charset val="1"/>
      </rPr>
      <t>SpO2_</t>
    </r>
    <r>
      <rPr>
        <b/>
        <sz val="10"/>
        <color rgb="FFFFFFFF"/>
        <rFont val="Noto Sans CJK SC"/>
        <family val="2"/>
      </rPr>
      <t>최저</t>
    </r>
  </si>
  <si>
    <t>걸음수</t>
  </si>
  <si>
    <r>
      <rPr>
        <b/>
        <sz val="10"/>
        <color rgb="FFFFFFFF"/>
        <rFont val="Noto Sans CJK SC"/>
        <family val="2"/>
      </rPr>
      <t>소모칼로리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기기값</t>
    </r>
  </si>
  <si>
    <r>
      <rPr>
        <b/>
        <sz val="10"/>
        <color rgb="FFFFFFFF"/>
        <rFont val="Noto Sans CJK SC"/>
        <family val="2"/>
      </rPr>
      <t>활력점수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기기값</t>
    </r>
  </si>
  <si>
    <t>BMR_kcal</t>
  </si>
  <si>
    <r>
      <rPr>
        <b/>
        <sz val="10"/>
        <color rgb="FFFFFFFF"/>
        <rFont val="Noto Sans CJK SC"/>
        <family val="2"/>
      </rPr>
      <t>활동소모칼로리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추정</t>
    </r>
  </si>
  <si>
    <r>
      <rPr>
        <b/>
        <sz val="10"/>
        <color rgb="FFFFFFFF"/>
        <rFont val="Arial"/>
        <charset val="1"/>
      </rPr>
      <t>TDEE_</t>
    </r>
    <r>
      <rPr>
        <b/>
        <sz val="10"/>
        <color rgb="FFFFFFFF"/>
        <rFont val="Noto Sans CJK SC"/>
        <family val="2"/>
      </rPr>
      <t>추정</t>
    </r>
    <r>
      <rPr>
        <b/>
        <sz val="10"/>
        <color rgb="FFFFFFFF"/>
        <rFont val="Arial"/>
        <charset val="1"/>
      </rPr>
      <t>_kcal</t>
    </r>
  </si>
  <si>
    <r>
      <rPr>
        <b/>
        <sz val="10"/>
        <color rgb="FFFFFFFF"/>
        <rFont val="Noto Sans CJK SC"/>
        <family val="2"/>
      </rPr>
      <t>기기값</t>
    </r>
    <r>
      <rPr>
        <b/>
        <sz val="10"/>
        <color rgb="FFFFFFFF"/>
        <rFont val="Arial"/>
        <charset val="1"/>
      </rPr>
      <t>-</t>
    </r>
    <r>
      <rPr>
        <b/>
        <sz val="10"/>
        <color rgb="FFFFFFFF"/>
        <rFont val="Noto Sans CJK SC"/>
        <family val="2"/>
      </rPr>
      <t>추정치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차이</t>
    </r>
    <r>
      <rPr>
        <b/>
        <sz val="10"/>
        <color rgb="FFFFFFFF"/>
        <rFont val="Arial"/>
        <charset val="1"/>
      </rPr>
      <t>_kcal</t>
    </r>
  </si>
  <si>
    <r>
      <rPr>
        <b/>
        <sz val="10"/>
        <color rgb="FFFFFFFF"/>
        <rFont val="Noto Sans CJK SC"/>
        <family val="2"/>
      </rPr>
      <t>수면유형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분류</t>
    </r>
  </si>
  <si>
    <r>
      <rPr>
        <b/>
        <sz val="10"/>
        <color rgb="FFFFFFFF"/>
        <rFont val="Noto Sans CJK SC"/>
        <family val="2"/>
      </rPr>
      <t>활동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버킷</t>
    </r>
  </si>
  <si>
    <r>
      <rPr>
        <b/>
        <sz val="10"/>
        <color rgb="FFFFFFFF"/>
        <rFont val="Arial"/>
        <charset val="1"/>
      </rPr>
      <t>HR_</t>
    </r>
    <r>
      <rPr>
        <b/>
        <sz val="10"/>
        <color rgb="FFFFFFFF"/>
        <rFont val="Noto Sans CJK SC"/>
        <family val="2"/>
      </rPr>
      <t>평소대비편차</t>
    </r>
  </si>
  <si>
    <r>
      <rPr>
        <b/>
        <sz val="10"/>
        <color rgb="FFFFFFFF"/>
        <rFont val="Arial"/>
        <charset val="1"/>
      </rPr>
      <t>RR_</t>
    </r>
    <r>
      <rPr>
        <b/>
        <sz val="10"/>
        <color rgb="FFFFFFFF"/>
        <rFont val="Noto Sans CJK SC"/>
        <family val="2"/>
      </rPr>
      <t>평소대비편차</t>
    </r>
  </si>
  <si>
    <r>
      <rPr>
        <b/>
        <sz val="10"/>
        <color rgb="FFFFFFFF"/>
        <rFont val="Arial"/>
        <charset val="1"/>
      </rPr>
      <t>SpO2_</t>
    </r>
    <r>
      <rPr>
        <b/>
        <sz val="10"/>
        <color rgb="FFFFFFFF"/>
        <rFont val="Noto Sans CJK SC"/>
        <family val="2"/>
      </rPr>
      <t>평소대비편차</t>
    </r>
    <r>
      <rPr>
        <b/>
        <sz val="10"/>
        <color rgb="FFFFFFFF"/>
        <rFont val="Arial"/>
        <charset val="1"/>
      </rPr>
      <t>(+</t>
    </r>
    <r>
      <rPr>
        <b/>
        <sz val="10"/>
        <color rgb="FFFFFFFF"/>
        <rFont val="Noto Sans CJK SC"/>
        <family val="2"/>
      </rPr>
      <t>면낮아짐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</si>
  <si>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family val="2"/>
      </rPr>
      <t>이상신호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해당여부</t>
    </r>
  </si>
  <si>
    <r>
      <rPr>
        <b/>
        <sz val="10"/>
        <color rgb="FFFFFFFF"/>
        <rFont val="Noto Sans CJK SC"/>
        <family val="2"/>
      </rPr>
      <t>이날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활동최저여부</t>
    </r>
  </si>
  <si>
    <r>
      <rPr>
        <b/>
        <sz val="10"/>
        <color rgb="FFFFFFFF"/>
        <rFont val="Noto Sans CJK SC"/>
        <family val="2"/>
      </rPr>
      <t>이날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활력최저여부</t>
    </r>
  </si>
  <si>
    <r>
      <rPr>
        <b/>
        <sz val="10"/>
        <color rgb="FFFFFFFF"/>
        <rFont val="Noto Sans CJK SC"/>
        <family val="2"/>
      </rPr>
      <t>이상신호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다중영역여부</t>
    </r>
  </si>
  <si>
    <r>
      <rPr>
        <b/>
        <sz val="10"/>
        <color rgb="FFFFFFFF"/>
        <rFont val="Noto Sans CJK SC"/>
        <family val="2"/>
      </rPr>
      <t>각성시간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실측또는추정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</si>
  <si>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평균각성지속시간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</t>
    </r>
    <r>
      <rPr>
        <b/>
        <sz val="10"/>
        <color rgb="FFFFFFFF"/>
        <rFont val="Arial"/>
        <charset val="1"/>
      </rPr>
      <t>(1</t>
    </r>
    <r>
      <rPr>
        <b/>
        <sz val="10"/>
        <color rgb="FFFFFFFF"/>
        <rFont val="Noto Sans CJK SC"/>
        <family val="2"/>
      </rPr>
      <t>회당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</si>
  <si>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family val="2"/>
      </rPr>
      <t>실측</t>
    </r>
    <r>
      <rPr>
        <b/>
        <sz val="10"/>
        <color rgb="FFFFFFFF"/>
        <rFont val="Arial"/>
        <charset val="1"/>
      </rPr>
      <t>-</t>
    </r>
    <r>
      <rPr>
        <b/>
        <sz val="10"/>
        <color rgb="FFFFFFFF"/>
        <rFont val="Noto Sans CJK SC"/>
        <family val="2"/>
      </rPr>
      <t>잔차값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차이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분</t>
    </r>
  </si>
  <si>
    <r>
      <rPr>
        <b/>
        <sz val="10"/>
        <color rgb="FFFFFFFF"/>
        <rFont val="Noto Sans CJK SC"/>
        <family val="2"/>
      </rPr>
      <t>모니터링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여부</t>
    </r>
  </si>
  <si>
    <r>
      <rPr>
        <b/>
        <sz val="10"/>
        <color rgb="FFFFFFFF"/>
        <rFont val="Arial"/>
        <charset val="1"/>
      </rPr>
      <t>TIB_</t>
    </r>
    <r>
      <rPr>
        <b/>
        <sz val="10"/>
        <color rgb="FFFFFFFF"/>
        <rFont val="Noto Sans CJK SC"/>
        <family val="2"/>
      </rPr>
      <t>정합성</t>
    </r>
    <r>
      <rPr>
        <b/>
        <sz val="10"/>
        <color rgb="FFFFFFFF"/>
        <rFont val="Arial"/>
        <charset val="1"/>
      </rPr>
      <t>_QA</t>
    </r>
  </si>
  <si>
    <r>
      <rPr>
        <b/>
        <sz val="10"/>
        <color rgb="FFFFFFFF"/>
        <rFont val="Noto Sans CJK SC"/>
        <family val="2"/>
      </rPr>
      <t>수면효율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기기값</t>
    </r>
    <r>
      <rPr>
        <b/>
        <sz val="10"/>
        <color rgb="FFFFFFFF"/>
        <rFont val="Arial"/>
        <charset val="1"/>
      </rPr>
      <t>_%</t>
    </r>
  </si>
  <si>
    <r>
      <rPr>
        <b/>
        <sz val="10"/>
        <color rgb="FFFFFFFF"/>
        <rFont val="Noto Sans CJK SC"/>
        <family val="2"/>
      </rPr>
      <t>계산</t>
    </r>
    <r>
      <rPr>
        <b/>
        <sz val="10"/>
        <color rgb="FFFFFFFF"/>
        <rFont val="Arial"/>
        <charset val="1"/>
      </rPr>
      <t>-</t>
    </r>
    <r>
      <rPr>
        <b/>
        <sz val="10"/>
        <color rgb="FFFFFFFF"/>
        <rFont val="Noto Sans CJK SC"/>
        <family val="2"/>
      </rPr>
      <t>기기값</t>
    </r>
    <r>
      <rPr>
        <b/>
        <sz val="10"/>
        <color rgb="FFFFFFFF"/>
        <rFont val="Arial"/>
        <charset val="1"/>
      </rPr>
      <t>_SE</t>
    </r>
    <r>
      <rPr>
        <b/>
        <sz val="10"/>
        <color rgb="FFFFFFFF"/>
        <rFont val="Noto Sans CJK SC"/>
        <family val="2"/>
      </rPr>
      <t>차이</t>
    </r>
    <r>
      <rPr>
        <b/>
        <sz val="10"/>
        <color rgb="FFFFFFFF"/>
        <rFont val="Arial"/>
        <charset val="1"/>
      </rPr>
      <t>_%p</t>
    </r>
  </si>
  <si>
    <r>
      <rPr>
        <b/>
        <sz val="10"/>
        <color rgb="FFFFFFFF"/>
        <rFont val="Arial"/>
        <charset val="1"/>
      </rPr>
      <t>SE_</t>
    </r>
    <r>
      <rPr>
        <b/>
        <sz val="10"/>
        <color rgb="FFFFFFFF"/>
        <rFont val="Noto Sans CJK SC"/>
        <family val="2"/>
      </rPr>
      <t>비교</t>
    </r>
    <r>
      <rPr>
        <b/>
        <sz val="10"/>
        <color rgb="FFFFFFFF"/>
        <rFont val="Arial"/>
        <charset val="1"/>
      </rPr>
      <t>_QA</t>
    </r>
  </si>
  <si>
    <r>
      <rPr>
        <b/>
        <sz val="10"/>
        <color rgb="FFFFFFFF"/>
        <rFont val="Noto Sans CJK SC"/>
        <family val="2"/>
      </rPr>
      <t>수면효율</t>
    </r>
    <r>
      <rPr>
        <b/>
        <sz val="10"/>
        <color rgb="FFFFFFFF"/>
        <rFont val="Arial"/>
        <charset val="1"/>
      </rPr>
      <t>_</t>
    </r>
    <r>
      <rPr>
        <b/>
        <sz val="10"/>
        <color rgb="FFFFFFFF"/>
        <rFont val="Noto Sans CJK SC"/>
        <family val="2"/>
      </rPr>
      <t>최종</t>
    </r>
    <r>
      <rPr>
        <b/>
        <sz val="10"/>
        <color rgb="FFFFFFFF"/>
        <rFont val="Arial"/>
        <charset val="1"/>
      </rPr>
      <t>_%(</t>
    </r>
    <r>
      <rPr>
        <b/>
        <sz val="10"/>
        <color rgb="FFFFFFFF"/>
        <rFont val="Noto Sans CJK SC"/>
        <family val="2"/>
      </rPr>
      <t>리포트 반영값</t>
    </r>
    <r>
      <rPr>
        <b/>
        <sz val="10"/>
        <color rgb="FFFFFFFF"/>
        <rFont val="Arial"/>
        <charset val="1"/>
      </rPr>
      <t>, 19</t>
    </r>
    <r>
      <rPr>
        <b/>
        <sz val="10"/>
        <color rgb="FFFFFFFF"/>
        <rFont val="Noto Sans CJK SC"/>
        <family val="2"/>
      </rPr>
      <t>차</t>
    </r>
    <r>
      <rPr>
        <b/>
        <sz val="10"/>
        <color rgb="FFFFFFFF"/>
        <rFont val="Arial"/>
        <charset val="1"/>
      </rPr>
      <t>)</t>
    </r>
  </si>
  <si>
    <r>
      <rPr>
        <b/>
        <sz val="16"/>
        <color rgb="FFFFFFFF"/>
        <rFont val="Arial"/>
        <charset val="1"/>
      </rPr>
      <t xml:space="preserve">S5. </t>
    </r>
    <r>
      <rPr>
        <b/>
        <sz val="16"/>
        <color rgb="FFFFFFFF"/>
        <rFont val="Noto Sans CJK SC"/>
        <family val="2"/>
      </rPr>
      <t xml:space="preserve">주간 요약 </t>
    </r>
    <r>
      <rPr>
        <b/>
        <sz val="16"/>
        <color rgb="FFFFFFFF"/>
        <rFont val="Arial"/>
        <charset val="1"/>
      </rPr>
      <t xml:space="preserve">· </t>
    </r>
    <r>
      <rPr>
        <b/>
        <sz val="16"/>
        <color rgb="FFFFFFFF"/>
        <rFont val="Noto Sans CJK SC"/>
        <family val="2"/>
      </rPr>
      <t xml:space="preserve">상관관계 </t>
    </r>
    <r>
      <rPr>
        <b/>
        <sz val="16"/>
        <color rgb="FFFFFFFF"/>
        <rFont val="Arial"/>
        <charset val="1"/>
      </rPr>
      <t xml:space="preserve">· </t>
    </r>
    <r>
      <rPr>
        <b/>
        <sz val="16"/>
        <color rgb="FFFFFFFF"/>
        <rFont val="Noto Sans CJK SC"/>
        <family val="2"/>
      </rPr>
      <t>회귀</t>
    </r>
  </si>
  <si>
    <r>
      <rPr>
        <i/>
        <sz val="10"/>
        <color rgb="FF595959"/>
        <rFont val="Arial"/>
        <charset val="1"/>
      </rPr>
      <t>7</t>
    </r>
    <r>
      <rPr>
        <i/>
        <sz val="10"/>
        <color rgb="FF595959"/>
        <rFont val="Noto Sans CJK SC"/>
        <family val="2"/>
      </rPr>
      <t>일 데이터를 바탕으로 평균</t>
    </r>
    <r>
      <rPr>
        <i/>
        <sz val="10"/>
        <color rgb="FF595959"/>
        <rFont val="Arial"/>
        <charset val="1"/>
      </rPr>
      <t>/</t>
    </r>
    <r>
      <rPr>
        <i/>
        <sz val="10"/>
        <color rgb="FF595959"/>
        <rFont val="Noto Sans CJK SC"/>
        <family val="2"/>
      </rPr>
      <t>범위</t>
    </r>
    <r>
      <rPr>
        <i/>
        <sz val="10"/>
        <color rgb="FF595959"/>
        <rFont val="Arial"/>
        <charset val="1"/>
      </rPr>
      <t>/</t>
    </r>
    <r>
      <rPr>
        <i/>
        <sz val="10"/>
        <color rgb="FF595959"/>
        <rFont val="Noto Sans CJK SC"/>
        <family val="2"/>
      </rPr>
      <t>변동폭</t>
    </r>
    <r>
      <rPr>
        <i/>
        <sz val="10"/>
        <color rgb="FF595959"/>
        <rFont val="Arial"/>
        <charset val="1"/>
      </rPr>
      <t>/</t>
    </r>
    <r>
      <rPr>
        <i/>
        <sz val="10"/>
        <color rgb="FF595959"/>
        <rFont val="Noto Sans CJK SC"/>
        <family val="2"/>
      </rPr>
      <t>표준편차</t>
    </r>
    <r>
      <rPr>
        <i/>
        <sz val="10"/>
        <color rgb="FF595959"/>
        <rFont val="Arial"/>
        <charset val="1"/>
      </rPr>
      <t>/</t>
    </r>
    <r>
      <rPr>
        <i/>
        <sz val="10"/>
        <color rgb="FF595959"/>
        <rFont val="Noto Sans CJK SC"/>
        <family val="2"/>
      </rPr>
      <t>상관계수</t>
    </r>
    <r>
      <rPr>
        <i/>
        <sz val="10"/>
        <color rgb="FF595959"/>
        <rFont val="Arial"/>
        <charset val="1"/>
      </rPr>
      <t>/</t>
    </r>
    <r>
      <rPr>
        <i/>
        <sz val="10"/>
        <color rgb="FF595959"/>
        <rFont val="Noto Sans CJK SC"/>
        <family val="2"/>
      </rPr>
      <t>회귀기울기를 계산합니다</t>
    </r>
    <r>
      <rPr>
        <i/>
        <sz val="10"/>
        <color rgb="FF595959"/>
        <rFont val="Arial"/>
        <charset val="1"/>
      </rPr>
      <t>.</t>
    </r>
  </si>
  <si>
    <t>① 지표별 주간 통계</t>
  </si>
  <si>
    <t>지표</t>
  </si>
  <si>
    <t>평균</t>
  </si>
  <si>
    <t>최소</t>
  </si>
  <si>
    <t>최대</t>
  </si>
  <si>
    <r>
      <rPr>
        <b/>
        <sz val="10"/>
        <color rgb="FFFFFFFF"/>
        <rFont val="Noto Sans CJK SC"/>
        <family val="2"/>
      </rPr>
      <t>범위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family val="2"/>
      </rPr>
      <t>최대</t>
    </r>
    <r>
      <rPr>
        <b/>
        <sz val="10"/>
        <color rgb="FFFFFFFF"/>
        <rFont val="Arial"/>
        <charset val="1"/>
      </rPr>
      <t>-</t>
    </r>
    <r>
      <rPr>
        <b/>
        <sz val="10"/>
        <color rgb="FFFFFFFF"/>
        <rFont val="Noto Sans CJK SC"/>
        <family val="2"/>
      </rPr>
      <t>최소</t>
    </r>
    <r>
      <rPr>
        <b/>
        <sz val="10"/>
        <color rgb="FFFFFFFF"/>
        <rFont val="Arial"/>
        <charset val="1"/>
      </rPr>
      <t>)</t>
    </r>
  </si>
  <si>
    <t>표준편차</t>
  </si>
  <si>
    <t>최대값 요일</t>
  </si>
  <si>
    <t>최소값 요일</t>
  </si>
  <si>
    <r>
      <rPr>
        <b/>
        <sz val="10"/>
        <color rgb="FF1F1F1F"/>
        <rFont val="Noto Sans CJK SC"/>
        <family val="2"/>
      </rPr>
      <t xml:space="preserve">총수면시간 </t>
    </r>
    <r>
      <rPr>
        <b/>
        <sz val="10"/>
        <color rgb="FF1F1F1F"/>
        <rFont val="Arial"/>
        <charset val="1"/>
      </rPr>
      <t xml:space="preserve">(TST, 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</si>
  <si>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수면효율 </t>
    </r>
    <r>
      <rPr>
        <b/>
        <sz val="10"/>
        <color rgb="FF1F1F1F"/>
        <rFont val="Arial"/>
        <charset val="1"/>
      </rPr>
      <t>(SE, %)</t>
    </r>
  </si>
  <si>
    <r>
      <rPr>
        <b/>
        <sz val="10"/>
        <color rgb="FF1F1F1F"/>
        <rFont val="Noto Sans CJK SC"/>
        <family val="2"/>
      </rPr>
      <t xml:space="preserve">입면잠복기 </t>
    </r>
    <r>
      <rPr>
        <b/>
        <sz val="10"/>
        <color rgb="FF1F1F1F"/>
        <rFont val="Arial"/>
        <charset val="1"/>
      </rPr>
      <t xml:space="preserve">(SOL, 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</si>
  <si>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각성횟수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회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</si>
  <si>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심박수 </t>
    </r>
    <r>
      <rPr>
        <b/>
        <sz val="10"/>
        <color rgb="FF1F1F1F"/>
        <rFont val="Arial"/>
        <charset val="1"/>
      </rPr>
      <t>(HR, bpm)</t>
    </r>
  </si>
  <si>
    <r>
      <rPr>
        <b/>
        <sz val="10"/>
        <color rgb="FF1F1F1F"/>
        <rFont val="Noto Sans CJK SC"/>
        <family val="2"/>
      </rPr>
      <t xml:space="preserve">호흡수 </t>
    </r>
    <r>
      <rPr>
        <b/>
        <sz val="10"/>
        <color rgb="FF1F1F1F"/>
        <rFont val="Arial"/>
        <charset val="1"/>
      </rPr>
      <t xml:space="preserve">(RR, </t>
    </r>
    <r>
      <rPr>
        <b/>
        <sz val="10"/>
        <color rgb="FF1F1F1F"/>
        <rFont val="Noto Sans CJK SC"/>
        <family val="2"/>
      </rPr>
      <t>회</t>
    </r>
    <r>
      <rPr>
        <b/>
        <sz val="10"/>
        <color rgb="FF1F1F1F"/>
        <rFont val="Arial"/>
        <charset val="1"/>
      </rPr>
      <t>/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)</t>
    </r>
  </si>
  <si>
    <t>SpO2 (%)</t>
  </si>
  <si>
    <r>
      <rPr>
        <b/>
        <sz val="10"/>
        <color rgb="FF1F1F1F"/>
        <rFont val="Noto Sans CJK SC"/>
        <family val="2"/>
      </rPr>
      <t xml:space="preserve">활동시간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</si>
  <si>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소모칼로리 </t>
    </r>
    <r>
      <rPr>
        <b/>
        <sz val="10"/>
        <color rgb="FF1F1F1F"/>
        <rFont val="Arial"/>
        <charset val="1"/>
      </rPr>
      <t xml:space="preserve">- </t>
    </r>
    <r>
      <rPr>
        <b/>
        <sz val="10"/>
        <color rgb="FF1F1F1F"/>
        <rFont val="Noto Sans CJK SC"/>
        <family val="2"/>
      </rPr>
      <t xml:space="preserve">기기값 </t>
    </r>
    <r>
      <rPr>
        <b/>
        <sz val="10"/>
        <color rgb="FF1F1F1F"/>
        <rFont val="Arial"/>
        <charset val="1"/>
      </rPr>
      <t>(kcal)</t>
    </r>
  </si>
  <si>
    <r>
      <rPr>
        <b/>
        <sz val="10"/>
        <color rgb="FF1F1F1F"/>
        <rFont val="Noto Sans CJK SC"/>
        <family val="2"/>
      </rPr>
      <t xml:space="preserve">활력점수 </t>
    </r>
    <r>
      <rPr>
        <b/>
        <sz val="10"/>
        <color rgb="FF1F1F1F"/>
        <rFont val="Arial"/>
        <charset val="1"/>
      </rPr>
      <t>(0~100)</t>
    </r>
  </si>
  <si>
    <r>
      <rPr>
        <b/>
        <sz val="10"/>
        <color rgb="FF1F1F1F"/>
        <rFont val="Noto Sans CJK SC"/>
        <family val="2"/>
      </rPr>
      <t xml:space="preserve">깊은수면 비율 </t>
    </r>
    <r>
      <rPr>
        <b/>
        <sz val="10"/>
        <color rgb="FF1F1F1F"/>
        <rFont val="Arial"/>
        <charset val="1"/>
      </rPr>
      <t>(%)</t>
    </r>
  </si>
  <si>
    <r>
      <rPr>
        <b/>
        <sz val="10"/>
        <color rgb="FF1F1F1F"/>
        <rFont val="Noto Sans CJK SC"/>
        <family val="2"/>
      </rPr>
      <t xml:space="preserve">얕은수면 비율 </t>
    </r>
    <r>
      <rPr>
        <b/>
        <sz val="10"/>
        <color rgb="FF1F1F1F"/>
        <rFont val="Arial"/>
        <charset val="1"/>
      </rPr>
      <t>(%)</t>
    </r>
  </si>
  <si>
    <r>
      <rPr>
        <b/>
        <sz val="10"/>
        <color rgb="FF1F1F1F"/>
        <rFont val="Noto Sans CJK SC"/>
        <family val="2"/>
      </rPr>
      <t xml:space="preserve">렘수면 비율 </t>
    </r>
    <r>
      <rPr>
        <b/>
        <sz val="10"/>
        <color rgb="FF1F1F1F"/>
        <rFont val="Arial"/>
        <charset val="1"/>
      </rPr>
      <t>(%)</t>
    </r>
  </si>
  <si>
    <r>
      <rPr>
        <b/>
        <sz val="10"/>
        <color rgb="FF1F1F1F"/>
        <rFont val="Noto Sans CJK SC"/>
        <family val="2"/>
      </rPr>
      <t xml:space="preserve">각성시간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실측</t>
    </r>
    <r>
      <rPr>
        <b/>
        <sz val="10"/>
        <color rgb="FF1F1F1F"/>
        <rFont val="Arial"/>
        <charset val="1"/>
      </rPr>
      <t>/</t>
    </r>
    <r>
      <rPr>
        <b/>
        <sz val="10"/>
        <color rgb="FF1F1F1F"/>
        <rFont val="Noto Sans CJK SC"/>
        <family val="2"/>
      </rPr>
      <t>추정</t>
    </r>
    <r>
      <rPr>
        <b/>
        <sz val="10"/>
        <color rgb="FF1F1F1F"/>
        <rFont val="Arial"/>
        <charset val="1"/>
      </rPr>
      <t xml:space="preserve">, 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</si>
  <si>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평균 각성 지속시간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/1</t>
    </r>
    <r>
      <rPr>
        <b/>
        <sz val="10"/>
        <color rgb="FF1F1F1F"/>
        <rFont val="Noto Sans CJK SC"/>
        <family val="2"/>
      </rPr>
      <t>회</t>
    </r>
    <r>
      <rPr>
        <b/>
        <sz val="10"/>
        <color rgb="FF1F1F1F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</si>
  <si>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>② 취침</t>
    </r>
    <r>
      <rPr>
        <b/>
        <sz val="11"/>
        <color rgb="FFFFFFFF"/>
        <rFont val="Arial"/>
        <charset val="1"/>
      </rPr>
      <t>·</t>
    </r>
    <r>
      <rPr>
        <b/>
        <sz val="11"/>
        <color rgb="FFFFFFFF"/>
        <rFont val="Noto Sans CJK SC"/>
        <family val="2"/>
      </rPr>
      <t xml:space="preserve">기상 시각 규칙성 </t>
    </r>
    <r>
      <rPr>
        <b/>
        <sz val="11"/>
        <color rgb="FFFFFFFF"/>
        <rFont val="Arial"/>
        <charset val="1"/>
      </rPr>
      <t>(11</t>
    </r>
    <r>
      <rPr>
        <b/>
        <sz val="11"/>
        <color rgb="FFFFFFFF"/>
        <rFont val="Noto Sans CJK SC"/>
        <family val="2"/>
      </rPr>
      <t>페이지</t>
    </r>
    <r>
      <rPr>
        <b/>
        <sz val="11"/>
        <color rgb="FFFFFFF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</si>
  <si>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>평균 취침시각</t>
    </r>
    <r>
      <rPr>
        <b/>
        <sz val="10"/>
        <color rgb="FF1F1F1F"/>
        <rFont val="Arial"/>
        <charset val="1"/>
      </rPr>
      <t>_</t>
    </r>
    <r>
      <rPr>
        <b/>
        <sz val="10"/>
        <color rgb="FF1F1F1F"/>
        <rFont val="Noto Sans CJK SC"/>
        <family val="2"/>
      </rPr>
      <t xml:space="preserve">분환산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자정</t>
    </r>
    <r>
      <rPr>
        <b/>
        <sz val="10"/>
        <color rgb="FF1F1F1F"/>
        <rFont val="Arial"/>
        <charset val="1"/>
      </rPr>
      <t xml:space="preserve">=0, </t>
    </r>
    <r>
      <rPr>
        <b/>
        <sz val="10"/>
        <color rgb="FF1F1F1F"/>
        <rFont val="Noto Sans CJK SC"/>
        <family val="2"/>
      </rPr>
      <t>자정 이전은 음수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</si>
  <si>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취침시각 표준편차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</si>
  <si>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평균 취침시각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시각 표시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</si>
  <si>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>평균 기상시각</t>
    </r>
    <r>
      <rPr>
        <b/>
        <sz val="10"/>
        <color rgb="FF1F1F1F"/>
        <rFont val="Arial"/>
        <charset val="1"/>
      </rPr>
      <t>_</t>
    </r>
    <r>
      <rPr>
        <b/>
        <sz val="10"/>
        <color rgb="FF1F1F1F"/>
        <rFont val="Noto Sans CJK SC"/>
        <family val="2"/>
      </rPr>
      <t>분</t>
    </r>
  </si>
  <si>
    <r>
      <rPr>
        <b/>
        <sz val="10"/>
        <color rgb="FF1F1F1F"/>
        <rFont val="Noto Sans CJK SC"/>
        <family val="2"/>
      </rPr>
      <t xml:space="preserve">기상시각 표준편차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</si>
  <si>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평균 기상시각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시각 표시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</si>
  <si>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목표 침상시간 </t>
    </r>
    <r>
      <rPr>
        <b/>
        <sz val="10"/>
        <color rgb="FF1F1F1F"/>
        <rFont val="Arial"/>
        <charset val="1"/>
      </rPr>
      <t>TIB (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 xml:space="preserve">) = </t>
    </r>
    <r>
      <rPr>
        <b/>
        <sz val="10"/>
        <color rgb="FF1F1F1F"/>
        <rFont val="Noto Sans CJK SC"/>
        <family val="2"/>
      </rPr>
      <t>목표수면시간</t>
    </r>
    <r>
      <rPr>
        <b/>
        <sz val="10"/>
        <color rgb="FF1F1F1F"/>
        <rFont val="Arial"/>
        <charset val="1"/>
      </rPr>
      <t>÷</t>
    </r>
    <r>
      <rPr>
        <b/>
        <sz val="10"/>
        <color rgb="FF1F1F1F"/>
        <rFont val="Noto Sans CJK SC"/>
        <family val="2"/>
      </rPr>
      <t>목표수면효율</t>
    </r>
  </si>
  <si>
    <r>
      <rPr>
        <b/>
        <sz val="10"/>
        <color rgb="FF1F1F1F"/>
        <rFont val="Noto Sans CJK SC"/>
        <family val="2"/>
      </rPr>
      <t>목표 취침시각</t>
    </r>
    <r>
      <rPr>
        <b/>
        <sz val="10"/>
        <color rgb="FF1F1F1F"/>
        <rFont val="Arial"/>
        <charset val="1"/>
      </rPr>
      <t>_</t>
    </r>
    <r>
      <rPr>
        <b/>
        <sz val="10"/>
        <color rgb="FF1F1F1F"/>
        <rFont val="Noto Sans CJK SC"/>
        <family val="2"/>
      </rPr>
      <t xml:space="preserve">분 </t>
    </r>
    <r>
      <rPr>
        <b/>
        <sz val="10"/>
        <color rgb="FF1F1F1F"/>
        <rFont val="Arial"/>
        <charset val="1"/>
      </rPr>
      <t xml:space="preserve">= </t>
    </r>
    <r>
      <rPr>
        <b/>
        <sz val="10"/>
        <color rgb="FF1F1F1F"/>
        <rFont val="Noto Sans CJK SC"/>
        <family val="2"/>
      </rPr>
      <t xml:space="preserve">평균기상시각분 </t>
    </r>
    <r>
      <rPr>
        <b/>
        <sz val="10"/>
        <color rgb="FF1F1F1F"/>
        <rFont val="Arial"/>
        <charset val="1"/>
      </rPr>
      <t xml:space="preserve">- </t>
    </r>
    <r>
      <rPr>
        <b/>
        <sz val="10"/>
        <color rgb="FF1F1F1F"/>
        <rFont val="Noto Sans CJK SC"/>
        <family val="2"/>
      </rPr>
      <t>목표</t>
    </r>
    <r>
      <rPr>
        <b/>
        <sz val="10"/>
        <color rgb="FF1F1F1F"/>
        <rFont val="Arial"/>
        <charset val="1"/>
      </rPr>
      <t>TIB</t>
    </r>
  </si>
  <si>
    <r>
      <rPr>
        <b/>
        <sz val="10"/>
        <color rgb="FF1F1F1F"/>
        <rFont val="Noto Sans CJK SC"/>
        <family val="2"/>
      </rPr>
      <t xml:space="preserve">목표 취침시각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시각 표시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</si>
  <si>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취침시각 규칙성 판정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 xml:space="preserve">참고범위 </t>
    </r>
    <r>
      <rPr>
        <b/>
        <sz val="10"/>
        <color rgb="FF1F1F1F"/>
        <rFont val="Arial"/>
        <charset val="1"/>
      </rPr>
      <t>20</t>
    </r>
    <r>
      <rPr>
        <b/>
        <sz val="10"/>
        <color rgb="FF1F1F1F"/>
        <rFont val="Noto Sans CJK SC"/>
        <family val="2"/>
      </rPr>
      <t>분 이내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</si>
  <si>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기상시각 규칙성 판정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 xml:space="preserve">참고범위 </t>
    </r>
    <r>
      <rPr>
        <b/>
        <sz val="10"/>
        <color rgb="FF1F1F1F"/>
        <rFont val="Arial"/>
        <charset val="1"/>
      </rPr>
      <t>20</t>
    </r>
    <r>
      <rPr>
        <b/>
        <sz val="10"/>
        <color rgb="FF1F1F1F"/>
        <rFont val="Noto Sans CJK SC"/>
        <family val="2"/>
      </rPr>
      <t>분 이내</t>
    </r>
    <r>
      <rPr>
        <b/>
        <sz val="10"/>
        <color rgb="FF1F1F1F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</si>
  <si>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 xml:space="preserve">③ 상관계수 </t>
    </r>
    <r>
      <rPr>
        <b/>
        <sz val="11"/>
        <color rgb="FFFFFFFF"/>
        <rFont val="Arial"/>
        <charset val="1"/>
      </rPr>
      <t xml:space="preserve">· </t>
    </r>
    <r>
      <rPr>
        <b/>
        <sz val="11"/>
        <color rgb="FFFFFFFF"/>
        <rFont val="Noto Sans CJK SC"/>
        <family val="2"/>
      </rPr>
      <t xml:space="preserve">회귀 </t>
    </r>
    <r>
      <rPr>
        <b/>
        <sz val="11"/>
        <color rgb="FFFFFFFF"/>
        <rFont val="Arial"/>
        <charset val="1"/>
      </rPr>
      <t>(7·8·9·10·14·15</t>
    </r>
    <r>
      <rPr>
        <b/>
        <sz val="11"/>
        <color rgb="FFFFFFFF"/>
        <rFont val="Noto Sans CJK SC"/>
        <family val="2"/>
      </rPr>
      <t>페이지</t>
    </r>
    <r>
      <rPr>
        <b/>
        <sz val="11"/>
        <color rgb="FFFFFFFF"/>
        <rFont val="Arial"/>
        <charset val="1"/>
      </rPr>
      <t>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</si>
  <si>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>입면잠복기 ↔ 수면효율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</si>
  <si>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>활동시간 ↔ 입면잠복기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</si>
  <si>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>활동시간 ↔ 수면효율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</si>
  <si>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>심박수 ↔ 호흡수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</si>
  <si>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 xml:space="preserve">심박수 ↔ </t>
    </r>
    <r>
      <rPr>
        <b/>
        <sz val="10"/>
        <color rgb="FF1F1F1F"/>
        <rFont val="Arial"/>
        <charset val="1"/>
      </rPr>
      <t>SpO2)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</si>
  <si>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 xml:space="preserve">호흡수 ↔ </t>
    </r>
    <r>
      <rPr>
        <b/>
        <sz val="10"/>
        <color rgb="FF1F1F1F"/>
        <rFont val="Arial"/>
        <charset val="1"/>
      </rPr>
      <t>SpO2)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</si>
  <si>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>활동시간 ↔ 소모칼로리 기기값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</si>
  <si>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>전날 수면효율 ↔ 당일 활력점수</t>
    </r>
    <r>
      <rPr>
        <b/>
        <sz val="10"/>
        <color rgb="FF1F1F1F"/>
        <rFont val="Arial"/>
        <charset val="1"/>
      </rPr>
      <t>, lag)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</si>
  <si>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>각성횟수 ↔ 평균각성지속시간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</si>
  <si>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>평균각성지속시간 ↔ 수면효율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</si>
  <si>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Arial"/>
        <charset val="1"/>
      </rPr>
      <t>r (</t>
    </r>
    <r>
      <rPr>
        <b/>
        <sz val="10"/>
        <color rgb="FF1F1F1F"/>
        <rFont val="Noto Sans CJK SC"/>
        <family val="2"/>
      </rPr>
      <t>평균각성지속시간 ↔ 총수면시간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</si>
  <si>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>회귀기울기</t>
    </r>
    <r>
      <rPr>
        <b/>
        <sz val="10"/>
        <color rgb="FF1F1F1F"/>
        <rFont val="Arial"/>
        <charset val="1"/>
      </rPr>
      <t xml:space="preserve">: </t>
    </r>
    <r>
      <rPr>
        <b/>
        <sz val="10"/>
        <color rgb="FF1F1F1F"/>
        <rFont val="Noto Sans CJK SC"/>
        <family val="2"/>
      </rPr>
      <t xml:space="preserve">활동 </t>
    </r>
    <r>
      <rPr>
        <b/>
        <sz val="10"/>
        <color rgb="FF1F1F1F"/>
        <rFont val="Arial"/>
        <charset val="1"/>
      </rPr>
      <t>1</t>
    </r>
    <r>
      <rPr>
        <b/>
        <sz val="10"/>
        <color rgb="FF1F1F1F"/>
        <rFont val="Noto Sans CJK SC"/>
        <family val="2"/>
      </rPr>
      <t xml:space="preserve">분당 수면효율 변화 </t>
    </r>
    <r>
      <rPr>
        <b/>
        <sz val="10"/>
        <color rgb="FF1F1F1F"/>
        <rFont val="Arial"/>
        <charset val="1"/>
      </rPr>
      <t>(%p)</t>
    </r>
  </si>
  <si>
    <r>
      <rPr>
        <b/>
        <sz val="10"/>
        <color rgb="FF1F1F1F"/>
        <rFont val="Noto Sans CJK SC"/>
        <family val="2"/>
      </rPr>
      <t xml:space="preserve">→ 활동 </t>
    </r>
    <r>
      <rPr>
        <b/>
        <sz val="10"/>
        <color rgb="FF1F1F1F"/>
        <rFont val="Arial"/>
        <charset val="1"/>
      </rPr>
      <t>10</t>
    </r>
    <r>
      <rPr>
        <b/>
        <sz val="10"/>
        <color rgb="FF1F1F1F"/>
        <rFont val="Noto Sans CJK SC"/>
        <family val="2"/>
      </rPr>
      <t xml:space="preserve">분당 수면효율 변화 </t>
    </r>
    <r>
      <rPr>
        <b/>
        <sz val="10"/>
        <color rgb="FF1F1F1F"/>
        <rFont val="Arial"/>
        <charset val="1"/>
      </rPr>
      <t>(%p)</t>
    </r>
  </si>
  <si>
    <r>
      <rPr>
        <b/>
        <sz val="10"/>
        <color rgb="FF1F1F1F"/>
        <rFont val="Noto Sans CJK SC"/>
        <family val="2"/>
      </rPr>
      <t>회귀기울기</t>
    </r>
    <r>
      <rPr>
        <b/>
        <sz val="10"/>
        <color rgb="FF1F1F1F"/>
        <rFont val="Arial"/>
        <charset val="1"/>
      </rPr>
      <t xml:space="preserve">: </t>
    </r>
    <r>
      <rPr>
        <b/>
        <sz val="10"/>
        <color rgb="FF1F1F1F"/>
        <rFont val="Noto Sans CJK SC"/>
        <family val="2"/>
      </rPr>
      <t xml:space="preserve">활동 </t>
    </r>
    <r>
      <rPr>
        <b/>
        <sz val="10"/>
        <color rgb="FF1F1F1F"/>
        <rFont val="Arial"/>
        <charset val="1"/>
      </rPr>
      <t>1</t>
    </r>
    <r>
      <rPr>
        <b/>
        <sz val="10"/>
        <color rgb="FF1F1F1F"/>
        <rFont val="Noto Sans CJK SC"/>
        <family val="2"/>
      </rPr>
      <t xml:space="preserve">분당 총수면시간 변화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</si>
  <si>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→ 활동 </t>
    </r>
    <r>
      <rPr>
        <b/>
        <sz val="10"/>
        <color rgb="FF1F1F1F"/>
        <rFont val="Arial"/>
        <charset val="1"/>
      </rPr>
      <t>10</t>
    </r>
    <r>
      <rPr>
        <b/>
        <sz val="10"/>
        <color rgb="FF1F1F1F"/>
        <rFont val="Noto Sans CJK SC"/>
        <family val="2"/>
      </rPr>
      <t xml:space="preserve">분당 총수면시간 변화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</si>
  <si>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 xml:space="preserve">④ 활동 </t>
    </r>
    <r>
      <rPr>
        <b/>
        <sz val="11"/>
        <color rgb="FFFFFFFF"/>
        <rFont val="Arial"/>
        <charset val="1"/>
      </rPr>
      <t>3</t>
    </r>
    <r>
      <rPr>
        <b/>
        <sz val="11"/>
        <color rgb="FFFFFFFF"/>
        <rFont val="Noto Sans CJK SC"/>
        <family val="2"/>
      </rPr>
      <t xml:space="preserve">단계 버킷별 평균 </t>
    </r>
    <r>
      <rPr>
        <b/>
        <sz val="11"/>
        <color rgb="FFFFFFFF"/>
        <rFont val="Arial"/>
        <charset val="1"/>
      </rPr>
      <t>(16</t>
    </r>
    <r>
      <rPr>
        <b/>
        <sz val="11"/>
        <color rgb="FFFFFFFF"/>
        <rFont val="Noto Sans CJK SC"/>
        <family val="2"/>
      </rPr>
      <t>페이지 활동</t>
    </r>
    <r>
      <rPr>
        <b/>
        <sz val="11"/>
        <color rgb="FFFFFFFF"/>
        <rFont val="Arial"/>
        <charset val="1"/>
      </rPr>
      <t>-</t>
    </r>
    <r>
      <rPr>
        <b/>
        <sz val="11"/>
        <color rgb="FFFFFFFF"/>
        <rFont val="Noto Sans CJK SC"/>
        <family val="2"/>
      </rPr>
      <t>수면 통합 지표</t>
    </r>
    <r>
      <rPr>
        <b/>
        <sz val="11"/>
        <color rgb="FFFFFFFF"/>
        <rFont val="Arial"/>
        <charset val="1"/>
      </rPr>
      <t>)</t>
    </r>
  </si>
  <si>
    <t>활동 버킷</t>
  </si>
  <si>
    <t>해당 일수</t>
  </si>
  <si>
    <r>
      <rPr>
        <b/>
        <sz val="10"/>
        <color rgb="FFFFFFFF"/>
        <rFont val="Noto Sans CJK SC"/>
        <family val="2"/>
      </rPr>
      <t xml:space="preserve">평균 수면효율 </t>
    </r>
    <r>
      <rPr>
        <b/>
        <sz val="10"/>
        <color rgb="FFFFFFFF"/>
        <rFont val="Arial"/>
        <charset val="1"/>
      </rPr>
      <t>(%)</t>
    </r>
  </si>
  <si>
    <r>
      <rPr>
        <b/>
        <sz val="10"/>
        <color rgb="FFFFFFFF"/>
        <rFont val="Noto Sans CJK SC"/>
        <family val="2"/>
      </rPr>
      <t xml:space="preserve">평균 총수면시간 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family val="2"/>
      </rPr>
      <t>분</t>
    </r>
    <r>
      <rPr>
        <b/>
        <sz val="10"/>
        <color rgb="FFFFFFFF"/>
        <rFont val="Arial"/>
        <charset val="1"/>
      </rPr>
      <t>)</t>
    </r>
  </si>
  <si>
    <t>저활동</t>
  </si>
  <si>
    <t>중활동</t>
  </si>
  <si>
    <t>고활동</t>
  </si>
  <si>
    <r>
      <rPr>
        <b/>
        <sz val="11"/>
        <color rgb="FFFFFFFF"/>
        <rFont val="Noto Sans CJK SC"/>
        <family val="2"/>
      </rPr>
      <t>⑤ 총수면시간 최대</t>
    </r>
    <r>
      <rPr>
        <b/>
        <sz val="11"/>
        <color rgb="FFFFFFFF"/>
        <rFont val="Arial"/>
        <charset val="1"/>
      </rPr>
      <t>/</t>
    </r>
    <r>
      <rPr>
        <b/>
        <sz val="11"/>
        <color rgb="FFFFFFFF"/>
        <rFont val="Noto Sans CJK SC"/>
        <family val="2"/>
      </rPr>
      <t xml:space="preserve">최소일의 수면단계 비율 </t>
    </r>
    <r>
      <rPr>
        <b/>
        <sz val="11"/>
        <color rgb="FFFFFFFF"/>
        <rFont val="Arial"/>
        <charset val="1"/>
      </rPr>
      <t>(3</t>
    </r>
    <r>
      <rPr>
        <b/>
        <sz val="11"/>
        <color rgb="FFFFFFFF"/>
        <rFont val="Noto Sans CJK SC"/>
        <family val="2"/>
      </rPr>
      <t>페이지</t>
    </r>
    <r>
      <rPr>
        <b/>
        <sz val="11"/>
        <color rgb="FFFFFFFF"/>
        <rFont val="Arial"/>
        <charset val="1"/>
      </rPr>
      <t>)</t>
    </r>
  </si>
  <si>
    <t>구분</t>
  </si>
  <si>
    <r>
      <rPr>
        <b/>
        <sz val="10"/>
        <color rgb="FFFFFFFF"/>
        <rFont val="Noto Sans CJK SC"/>
        <family val="2"/>
      </rPr>
      <t>깊은수면 비율</t>
    </r>
    <r>
      <rPr>
        <b/>
        <sz val="10"/>
        <color rgb="FFFFFFFF"/>
        <rFont val="Arial"/>
        <charset val="1"/>
      </rPr>
      <t>(%)</t>
    </r>
  </si>
  <si>
    <r>
      <rPr>
        <b/>
        <sz val="10"/>
        <color rgb="FFFFFFFF"/>
        <rFont val="Noto Sans CJK SC"/>
        <family val="2"/>
      </rPr>
      <t>얕은수면 비율</t>
    </r>
    <r>
      <rPr>
        <b/>
        <sz val="10"/>
        <color rgb="FFFFFFFF"/>
        <rFont val="Arial"/>
        <charset val="1"/>
      </rPr>
      <t>(%)</t>
    </r>
  </si>
  <si>
    <r>
      <rPr>
        <b/>
        <sz val="10"/>
        <color rgb="FFFFFFFF"/>
        <rFont val="Noto Sans CJK SC"/>
        <family val="2"/>
      </rPr>
      <t>렘수면 비율</t>
    </r>
    <r>
      <rPr>
        <b/>
        <sz val="10"/>
        <color rgb="FFFFFFFF"/>
        <rFont val="Arial"/>
        <charset val="1"/>
      </rPr>
      <t>(%)</t>
    </r>
  </si>
  <si>
    <r>
      <rPr>
        <b/>
        <sz val="10"/>
        <color rgb="FF1F1F1F"/>
        <rFont val="Arial"/>
        <charset val="1"/>
      </rPr>
      <t xml:space="preserve">TST </t>
    </r>
    <r>
      <rPr>
        <b/>
        <sz val="10"/>
        <color rgb="FF1F1F1F"/>
        <rFont val="Noto Sans CJK SC"/>
        <family val="2"/>
      </rPr>
      <t>최댓값 요일</t>
    </r>
  </si>
  <si>
    <r>
      <rPr>
        <b/>
        <sz val="10"/>
        <color rgb="FF1F1F1F"/>
        <rFont val="Arial"/>
        <charset val="1"/>
      </rPr>
      <t xml:space="preserve">TST </t>
    </r>
    <r>
      <rPr>
        <b/>
        <sz val="10"/>
        <color rgb="FF1F1F1F"/>
        <rFont val="Noto Sans CJK SC"/>
        <family val="2"/>
      </rPr>
      <t>최솟값 요일</t>
    </r>
  </si>
  <si>
    <r>
      <rPr>
        <b/>
        <sz val="11"/>
        <color rgb="FFFFFFFF"/>
        <rFont val="Noto Sans CJK SC"/>
        <family val="2"/>
      </rPr>
      <t xml:space="preserve">⑥ 좋았던 밤 </t>
    </r>
    <r>
      <rPr>
        <b/>
        <sz val="11"/>
        <color rgb="FFFFFFFF"/>
        <rFont val="Arial"/>
        <charset val="1"/>
      </rPr>
      <t xml:space="preserve">/ </t>
    </r>
    <r>
      <rPr>
        <b/>
        <sz val="11"/>
        <color rgb="FFFFFFFF"/>
        <rFont val="Noto Sans CJK SC"/>
        <family val="2"/>
      </rPr>
      <t xml:space="preserve">나빴던 밤 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family val="2"/>
      </rPr>
      <t>수면효율 최대</t>
    </r>
    <r>
      <rPr>
        <b/>
        <sz val="11"/>
        <color rgb="FFFFFFFF"/>
        <rFont val="Arial"/>
        <charset val="1"/>
      </rPr>
      <t>·</t>
    </r>
    <r>
      <rPr>
        <b/>
        <sz val="11"/>
        <color rgb="FFFFFFFF"/>
        <rFont val="Noto Sans CJK SC"/>
        <family val="2"/>
      </rPr>
      <t>최소일</t>
    </r>
    <r>
      <rPr>
        <b/>
        <sz val="11"/>
        <color rgb="FFFFFFFF"/>
        <rFont val="Arial"/>
        <charset val="1"/>
      </rPr>
      <t>, 12</t>
    </r>
    <r>
      <rPr>
        <b/>
        <sz val="11"/>
        <color rgb="FFFFFFFF"/>
        <rFont val="Noto Sans CJK SC"/>
        <family val="2"/>
      </rPr>
      <t>페이지</t>
    </r>
    <r>
      <rPr>
        <b/>
        <sz val="11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</si>
  <si>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family val="2"/>
      </rPr>
      <t>수면효율</t>
    </r>
    <r>
      <rPr>
        <b/>
        <sz val="10"/>
        <color rgb="FFFFFFFF"/>
        <rFont val="Arial"/>
        <charset val="1"/>
      </rPr>
      <t>(%)</t>
    </r>
  </si>
  <si>
    <r>
      <rPr>
        <b/>
        <sz val="10"/>
        <color rgb="FF1F1F1F"/>
        <rFont val="Noto Sans CJK SC"/>
        <family val="2"/>
      </rPr>
      <t xml:space="preserve">좋았던 밤 </t>
    </r>
    <r>
      <rPr>
        <b/>
        <sz val="10"/>
        <color rgb="FF1F1F1F"/>
        <rFont val="Arial"/>
        <charset val="1"/>
      </rPr>
      <t xml:space="preserve">(SE </t>
    </r>
    <r>
      <rPr>
        <b/>
        <sz val="10"/>
        <color rgb="FF1F1F1F"/>
        <rFont val="Noto Sans CJK SC"/>
        <family val="2"/>
      </rPr>
      <t>최댓값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</si>
  <si>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나빴던 밤 </t>
    </r>
    <r>
      <rPr>
        <b/>
        <sz val="10"/>
        <color rgb="FF1F1F1F"/>
        <rFont val="Arial"/>
        <charset val="1"/>
      </rPr>
      <t xml:space="preserve">(SE </t>
    </r>
    <r>
      <rPr>
        <b/>
        <sz val="10"/>
        <color rgb="FF1F1F1F"/>
        <rFont val="Noto Sans CJK SC"/>
        <family val="2"/>
      </rPr>
      <t>최솟값</t>
    </r>
    <r>
      <rPr>
        <b/>
        <sz val="10"/>
        <color rgb="FF1F1F1F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</si>
  <si>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 xml:space="preserve">⑦ 이상신호 스크리닝 요약 </t>
    </r>
    <r>
      <rPr>
        <b/>
        <sz val="11"/>
        <color rgb="FFFFFFFF"/>
        <rFont val="Arial"/>
        <charset val="1"/>
      </rPr>
      <t>(17</t>
    </r>
    <r>
      <rPr>
        <b/>
        <sz val="11"/>
        <color rgb="FFFFFFFF"/>
        <rFont val="Noto Sans CJK SC"/>
        <family val="2"/>
      </rPr>
      <t>페이지</t>
    </r>
    <r>
      <rPr>
        <b/>
        <sz val="11"/>
        <color rgb="FFFFFFFF"/>
        <rFont val="Arial"/>
        <charset val="1"/>
      </rPr>
      <t>)</t>
    </r>
  </si>
  <si>
    <t>이상신호 해당 일수</t>
  </si>
  <si>
    <t>이상신호 해당 요일 목록</t>
  </si>
  <si>
    <r>
      <rPr>
        <b/>
        <sz val="10"/>
        <color rgb="FF1F1F1F"/>
        <rFont val="Noto Sans CJK SC"/>
        <family val="2"/>
      </rPr>
      <t>다중영역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활동</t>
    </r>
    <r>
      <rPr>
        <b/>
        <sz val="10"/>
        <color rgb="FF1F1F1F"/>
        <rFont val="Arial"/>
        <charset val="1"/>
      </rPr>
      <t>·</t>
    </r>
    <r>
      <rPr>
        <b/>
        <sz val="10"/>
        <color rgb="FF1F1F1F"/>
        <rFont val="Noto Sans CJK SC"/>
        <family val="2"/>
      </rPr>
      <t>활력까지</t>
    </r>
    <r>
      <rPr>
        <b/>
        <sz val="10"/>
        <color rgb="FF1F1F1F"/>
        <rFont val="Arial"/>
        <charset val="1"/>
      </rPr>
      <t xml:space="preserve">) </t>
    </r>
    <r>
      <rPr>
        <b/>
        <sz val="10"/>
        <color rgb="FF1F1F1F"/>
        <rFont val="Noto Sans CJK SC"/>
        <family val="2"/>
      </rPr>
      <t>동반 이탈 여부</t>
    </r>
  </si>
  <si>
    <r>
      <rPr>
        <b/>
        <sz val="11"/>
        <color rgb="FFFFFFFF"/>
        <rFont val="Noto Sans CJK SC"/>
        <family val="2"/>
      </rPr>
      <t xml:space="preserve">⑧ 개인 프로필 </t>
    </r>
    <r>
      <rPr>
        <b/>
        <sz val="11"/>
        <color rgb="FFFFFFFF"/>
        <rFont val="Arial"/>
        <charset val="1"/>
      </rPr>
      <t xml:space="preserve">· </t>
    </r>
    <r>
      <rPr>
        <b/>
        <sz val="11"/>
        <color rgb="FFFFFFFF"/>
        <rFont val="Noto Sans CJK SC"/>
        <family val="2"/>
      </rPr>
      <t xml:space="preserve">칼로리 요약 </t>
    </r>
    <r>
      <rPr>
        <b/>
        <sz val="11"/>
        <color rgb="FFFFFFFF"/>
        <rFont val="Arial"/>
        <charset val="1"/>
      </rPr>
      <t>(14</t>
    </r>
    <r>
      <rPr>
        <b/>
        <sz val="11"/>
        <color rgb="FFFFFFFF"/>
        <rFont val="Noto Sans CJK SC"/>
        <family val="2"/>
      </rPr>
      <t>페이지</t>
    </r>
    <r>
      <rPr>
        <b/>
        <sz val="11"/>
        <color rgb="FFFFFFFF"/>
        <rFont val="Arial"/>
        <charset val="1"/>
      </rPr>
      <t>)</t>
    </r>
  </si>
  <si>
    <t>BMI</t>
  </si>
  <si>
    <r>
      <rPr>
        <b/>
        <sz val="10"/>
        <color rgb="FF1F1F1F"/>
        <rFont val="Noto Sans CJK SC"/>
        <family val="2"/>
      </rPr>
      <t xml:space="preserve">기초대사량 </t>
    </r>
    <r>
      <rPr>
        <b/>
        <sz val="10"/>
        <color rgb="FF1F1F1F"/>
        <rFont val="Arial"/>
        <charset val="1"/>
      </rPr>
      <t>BMR (kcal/</t>
    </r>
    <r>
      <rPr>
        <b/>
        <sz val="10"/>
        <color rgb="FF1F1F1F"/>
        <rFont val="Noto Sans CJK SC"/>
        <family val="2"/>
      </rPr>
      <t>일</t>
    </r>
    <r>
      <rPr>
        <b/>
        <sz val="10"/>
        <color rgb="FF1F1F1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</si>
  <si>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추정 총 소모칼로리 평균 </t>
    </r>
    <r>
      <rPr>
        <b/>
        <sz val="10"/>
        <color rgb="FF1F1F1F"/>
        <rFont val="Arial"/>
        <charset val="1"/>
      </rPr>
      <t>(BMR+</t>
    </r>
    <r>
      <rPr>
        <b/>
        <sz val="10"/>
        <color rgb="FF1F1F1F"/>
        <rFont val="Noto Sans CJK SC"/>
        <family val="2"/>
      </rPr>
      <t>활동</t>
    </r>
    <r>
      <rPr>
        <b/>
        <sz val="10"/>
        <color rgb="FF1F1F1F"/>
        <rFont val="Arial"/>
        <charset val="1"/>
      </rPr>
      <t>, kcal)</t>
    </r>
  </si>
  <si>
    <r>
      <rPr>
        <b/>
        <sz val="10"/>
        <color rgb="FF1F1F1F"/>
        <rFont val="Noto Sans CJK SC"/>
        <family val="2"/>
      </rPr>
      <t xml:space="preserve">기기 표시값 평균과의 차이 </t>
    </r>
    <r>
      <rPr>
        <b/>
        <sz val="10"/>
        <color rgb="FF1F1F1F"/>
        <rFont val="Arial"/>
        <charset val="1"/>
      </rPr>
      <t>(kcal)</t>
    </r>
  </si>
  <si>
    <r>
      <rPr>
        <b/>
        <sz val="11"/>
        <color rgb="FFFFFFFF"/>
        <rFont val="Noto Sans CJK SC"/>
        <family val="2"/>
      </rPr>
      <t xml:space="preserve">⑨ 각성 지속시간 </t>
    </r>
    <r>
      <rPr>
        <b/>
        <sz val="11"/>
        <color rgb="FFFFFFFF"/>
        <rFont val="Arial"/>
        <charset val="1"/>
      </rPr>
      <t>QA (06</t>
    </r>
    <r>
      <rPr>
        <b/>
        <sz val="11"/>
        <color rgb="FFFFFFFF"/>
        <rFont val="Noto Sans CJK SC"/>
        <family val="2"/>
      </rPr>
      <t>페이지</t>
    </r>
    <r>
      <rPr>
        <b/>
        <sz val="11"/>
        <color rgb="FFFFFFFF"/>
        <rFont val="Arial"/>
        <charset val="1"/>
      </rPr>
      <t xml:space="preserve">, </t>
    </r>
    <r>
      <rPr>
        <b/>
        <sz val="11"/>
        <color rgb="FFFFFFFF"/>
        <rFont val="Noto Sans CJK SC"/>
        <family val="2"/>
      </rPr>
      <t>실측값 입력 시에만 의미 있음</t>
    </r>
    <r>
      <rPr>
        <b/>
        <sz val="11"/>
        <color rgb="FFFFFFF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</si>
  <si>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실측 각성시간 </t>
    </r>
    <r>
      <rPr>
        <b/>
        <sz val="10"/>
        <color rgb="FF1F1F1F"/>
        <rFont val="Arial"/>
        <charset val="1"/>
      </rPr>
      <t xml:space="preserve">- </t>
    </r>
    <r>
      <rPr>
        <b/>
        <sz val="10"/>
        <color rgb="FF1F1F1F"/>
        <rFont val="Noto Sans CJK SC"/>
        <family val="2"/>
      </rPr>
      <t>잔차</t>
    </r>
    <r>
      <rPr>
        <b/>
        <sz val="10"/>
        <color rgb="FF1F1F1F"/>
        <rFont val="Arial"/>
        <charset val="1"/>
      </rPr>
      <t xml:space="preserve">(TIB-SOL-TST) </t>
    </r>
    <r>
      <rPr>
        <b/>
        <sz val="10"/>
        <color rgb="FF1F1F1F"/>
        <rFont val="Noto Sans CJK SC"/>
        <family val="2"/>
      </rPr>
      <t xml:space="preserve">추정값 평균 차이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분</t>
    </r>
    <r>
      <rPr>
        <b/>
        <sz val="10"/>
        <color rgb="FF1F1F1F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</si>
  <si>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 xml:space="preserve">⑩ 모니터링 요약 </t>
    </r>
    <r>
      <rPr>
        <b/>
        <sz val="11"/>
        <color rgb="FFFFFFFF"/>
        <rFont val="Arial"/>
        <charset val="1"/>
      </rPr>
      <t>(16</t>
    </r>
    <r>
      <rPr>
        <b/>
        <sz val="11"/>
        <color rgb="FFFFFFFF"/>
        <rFont val="Noto Sans CJK SC"/>
        <family val="2"/>
      </rPr>
      <t>차 신규 — 평균은 실제 값이 있는 날짜 수로 나눔</t>
    </r>
    <r>
      <rPr>
        <b/>
        <sz val="11"/>
        <color rgb="FFFFFFFF"/>
        <rFont val="Arial"/>
        <charset val="1"/>
      </rPr>
      <t>)</t>
    </r>
  </si>
  <si>
    <r>
      <rPr>
        <b/>
        <sz val="10"/>
        <color rgb="FF1F1F1F"/>
        <rFont val="Noto Sans CJK SC"/>
        <family val="2"/>
      </rPr>
      <t xml:space="preserve">모니터링된 일수 </t>
    </r>
    <r>
      <rPr>
        <b/>
        <sz val="10"/>
        <color rgb="FF1F1F1F"/>
        <rFont val="Arial"/>
        <charset val="1"/>
      </rPr>
      <t>(7</t>
    </r>
    <r>
      <rPr>
        <b/>
        <sz val="10"/>
        <color rgb="FF1F1F1F"/>
        <rFont val="Noto Sans CJK SC"/>
        <family val="2"/>
      </rPr>
      <t>일 중</t>
    </r>
    <r>
      <rPr>
        <b/>
        <sz val="10"/>
        <color rgb="FF1F1F1F"/>
        <rFont val="Arial"/>
        <charset val="1"/>
      </rPr>
      <t>)</t>
    </r>
  </si>
  <si>
    <t>미모니터링 요일 목록</t>
  </si>
  <si>
    <r>
      <rPr>
        <b/>
        <sz val="10"/>
        <color rgb="FF1F1F1F"/>
        <rFont val="Arial"/>
        <charset val="1"/>
      </rPr>
      <t xml:space="preserve">TIB </t>
    </r>
    <r>
      <rPr>
        <b/>
        <sz val="10"/>
        <color rgb="FF1F1F1F"/>
        <rFont val="Noto Sans CJK SC"/>
        <family val="2"/>
      </rPr>
      <t xml:space="preserve">정합성 이상 요일 목록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 xml:space="preserve">수면효율 </t>
    </r>
    <r>
      <rPr>
        <b/>
        <sz val="10"/>
        <color rgb="FF1F1F1F"/>
        <rFont val="Arial"/>
        <charset val="1"/>
      </rPr>
      <t xml:space="preserve">100% </t>
    </r>
    <r>
      <rPr>
        <b/>
        <sz val="10"/>
        <color rgb="FF1F1F1F"/>
        <rFont val="Noto Sans CJK SC"/>
        <family val="2"/>
      </rPr>
      <t>초과 등</t>
    </r>
    <r>
      <rPr>
        <b/>
        <sz val="10"/>
        <color rgb="FF1F1F1F"/>
        <rFont val="Arial"/>
        <charset val="1"/>
      </rPr>
      <t>)</t>
    </r>
  </si>
  <si>
    <r>
      <rPr>
        <b/>
        <sz val="11"/>
        <color rgb="FFFFFFFF"/>
        <rFont val="Noto Sans CJK SC"/>
        <family val="2"/>
      </rPr>
      <t xml:space="preserve">⑪ 계산값 </t>
    </r>
    <r>
      <rPr>
        <b/>
        <sz val="11"/>
        <color rgb="FFFFFFFF"/>
        <rFont val="Arial"/>
        <charset val="1"/>
      </rPr>
      <t xml:space="preserve">vs </t>
    </r>
    <r>
      <rPr>
        <b/>
        <sz val="11"/>
        <color rgb="FFFFFFFF"/>
        <rFont val="Noto Sans CJK SC"/>
        <family val="2"/>
      </rPr>
      <t>기기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family val="2"/>
      </rPr>
      <t>웨어러블</t>
    </r>
    <r>
      <rPr>
        <b/>
        <sz val="11"/>
        <color rgb="FFFFFFFF"/>
        <rFont val="Arial"/>
        <charset val="1"/>
      </rPr>
      <t xml:space="preserve">) </t>
    </r>
    <r>
      <rPr>
        <b/>
        <sz val="11"/>
        <color rgb="FFFFFFFF"/>
        <rFont val="Noto Sans CJK SC"/>
        <family val="2"/>
      </rPr>
      <t xml:space="preserve">수면효율 비교 </t>
    </r>
    <r>
      <rPr>
        <b/>
        <sz val="11"/>
        <color rgb="FFFFFFFF"/>
        <rFont val="Arial"/>
        <charset val="1"/>
      </rPr>
      <t>(17</t>
    </r>
    <r>
      <rPr>
        <b/>
        <sz val="11"/>
        <color rgb="FFFFFFFF"/>
        <rFont val="Noto Sans CJK SC"/>
        <family val="2"/>
      </rPr>
      <t>차 신규</t>
    </r>
    <r>
      <rPr>
        <b/>
        <sz val="11"/>
        <color rgb="FFFFFFFF"/>
        <rFont val="Arial"/>
        <charset val="1"/>
      </rPr>
      <t>)</t>
    </r>
  </si>
  <si>
    <t>기기 수면효율 값이 입력된 일수</t>
  </si>
  <si>
    <r>
      <rPr>
        <b/>
        <sz val="10"/>
        <color rgb="FF1F1F1F"/>
        <rFont val="Noto Sans CJK SC"/>
        <family val="2"/>
      </rPr>
      <t xml:space="preserve">계산값 </t>
    </r>
    <r>
      <rPr>
        <b/>
        <sz val="10"/>
        <color rgb="FF1F1F1F"/>
        <rFont val="Arial"/>
        <charset val="1"/>
      </rPr>
      <t xml:space="preserve">- </t>
    </r>
    <r>
      <rPr>
        <b/>
        <sz val="10"/>
        <color rgb="FF1F1F1F"/>
        <rFont val="Noto Sans CJK SC"/>
        <family val="2"/>
      </rPr>
      <t xml:space="preserve">기기값 평균 차이 </t>
    </r>
    <r>
      <rPr>
        <b/>
        <sz val="10"/>
        <color rgb="FF1F1F1F"/>
        <rFont val="Arial"/>
        <charset val="1"/>
      </rPr>
      <t>(%p)</t>
    </r>
  </si>
  <si>
    <r>
      <rPr>
        <b/>
        <sz val="10"/>
        <color rgb="FF1F1F1F"/>
        <rFont val="Noto Sans CJK SC"/>
        <family val="2"/>
      </rPr>
      <t>차이 큰</t>
    </r>
    <r>
      <rPr>
        <b/>
        <sz val="10"/>
        <color rgb="FF1F1F1F"/>
        <rFont val="Arial"/>
        <charset val="1"/>
      </rPr>
      <t xml:space="preserve">(⚠) </t>
    </r>
    <r>
      <rPr>
        <b/>
        <sz val="10"/>
        <color rgb="FF1F1F1F"/>
        <rFont val="Noto Sans CJK SC"/>
        <family val="2"/>
      </rPr>
      <t>요일 목록</t>
    </r>
  </si>
  <si>
    <r>
      <rPr>
        <b/>
        <sz val="16"/>
        <color rgb="FFFFFFFF"/>
        <rFont val="Arial"/>
        <charset val="1"/>
      </rPr>
      <t xml:space="preserve">S6. </t>
    </r>
    <r>
      <rPr>
        <b/>
        <sz val="16"/>
        <color rgb="FFFFFFFF"/>
        <rFont val="Noto Sans CJK SC"/>
        <family val="2"/>
      </rPr>
      <t xml:space="preserve">페이지별 문구 자동 생성 </t>
    </r>
    <r>
      <rPr>
        <b/>
        <sz val="16"/>
        <color rgb="FFFFFFFF"/>
        <rFont val="Arial"/>
        <charset val="1"/>
      </rPr>
      <t>(</t>
    </r>
    <r>
      <rPr>
        <b/>
        <sz val="16"/>
        <color rgb="FFFFFFFF"/>
        <rFont val="Noto Sans CJK SC"/>
        <family val="2"/>
      </rPr>
      <t>초안</t>
    </r>
    <r>
      <rPr>
        <b/>
        <sz val="16"/>
        <color rgb="FFFFFFFF"/>
        <rFont val="Arial"/>
        <charset val="1"/>
      </rPr>
      <t>)</t>
    </r>
  </si>
  <si>
    <r>
      <rPr>
        <i/>
        <sz val="10"/>
        <color rgb="FF595959"/>
        <rFont val="Arial"/>
        <charset val="1"/>
      </rPr>
      <t xml:space="preserve">IF </t>
    </r>
    <r>
      <rPr>
        <i/>
        <sz val="10"/>
        <color rgb="FF595959"/>
        <rFont val="Noto Sans CJK SC"/>
        <family val="2"/>
      </rPr>
      <t>조건 기반으로 조건에 맞는 문장을 조합합니다</t>
    </r>
    <r>
      <rPr>
        <i/>
        <sz val="10"/>
        <color rgb="FF595959"/>
        <rFont val="Arial"/>
        <charset val="1"/>
      </rPr>
      <t xml:space="preserve">. </t>
    </r>
    <r>
      <rPr>
        <i/>
        <sz val="10"/>
        <color rgb="FF595959"/>
        <rFont val="Noto Sans CJK SC"/>
        <family val="2"/>
      </rPr>
      <t>리포트에 넣기 전 자연스럽게 다듬어 사용하세요</t>
    </r>
    <r>
      <rPr>
        <i/>
        <sz val="10"/>
        <color rgb="FF595959"/>
        <rFont val="Arial"/>
        <charset val="1"/>
      </rPr>
      <t>.</t>
    </r>
  </si>
  <si>
    <t>페이지</t>
  </si>
  <si>
    <t>제목</t>
  </si>
  <si>
    <r>
      <rPr>
        <b/>
        <sz val="10"/>
        <color rgb="FFFFFFFF"/>
        <rFont val="Noto Sans CJK SC"/>
        <family val="2"/>
      </rPr>
      <t>무엇을 의미하나요</t>
    </r>
    <r>
      <rPr>
        <b/>
        <sz val="10"/>
        <color rgb="FFFFFFFF"/>
        <rFont val="Arial"/>
        <charset val="1"/>
      </rPr>
      <t>? (</t>
    </r>
    <r>
      <rPr>
        <b/>
        <sz val="10"/>
        <color rgb="FFFFFFFF"/>
        <rFont val="Noto Sans CJK SC"/>
        <family val="2"/>
      </rPr>
      <t>초안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</si>
  <si>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family val="2"/>
      </rPr>
      <t xml:space="preserve">제안 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family val="2"/>
      </rPr>
      <t>초안</t>
    </r>
    <r>
      <rPr>
        <b/>
        <sz val="10"/>
        <color rgb="FFFFFFFF"/>
        <rFont val="Arial"/>
        <charset val="1"/>
      </rPr>
      <t>)</t>
    </r>
  </si>
  <si>
    <t>03</t>
  </si>
  <si>
    <r>
      <rPr>
        <b/>
        <sz val="10"/>
        <color rgb="FF1F1F1F"/>
        <rFont val="Noto Sans CJK SC"/>
        <family val="2"/>
      </rPr>
      <t xml:space="preserve">총수면시간 </t>
    </r>
    <r>
      <rPr>
        <b/>
        <sz val="10"/>
        <color rgb="FF1F1F1F"/>
        <rFont val="Arial"/>
        <charset val="1"/>
      </rPr>
      <t xml:space="preserve">&amp; </t>
    </r>
    <r>
      <rPr>
        <b/>
        <sz val="10"/>
        <color rgb="FF1F1F1F"/>
        <rFont val="Noto Sans CJK SC"/>
        <family val="2"/>
      </rPr>
      <t>수면단계</t>
    </r>
  </si>
  <si>
    <t>04</t>
  </si>
  <si>
    <t>수면효율</t>
  </si>
  <si>
    <t>05</t>
  </si>
  <si>
    <t>입면잠복기</t>
  </si>
  <si>
    <t>06</t>
  </si>
  <si>
    <t>07</t>
  </si>
  <si>
    <r>
      <rPr>
        <b/>
        <sz val="10"/>
        <color rgb="FF1F1F1F"/>
        <rFont val="Noto Sans CJK SC"/>
        <family val="2"/>
      </rPr>
      <t>입면잠복기</t>
    </r>
    <r>
      <rPr>
        <b/>
        <sz val="10"/>
        <color rgb="FF1F1F1F"/>
        <rFont val="Arial"/>
        <charset val="1"/>
      </rPr>
      <t>·</t>
    </r>
    <r>
      <rPr>
        <b/>
        <sz val="10"/>
        <color rgb="FF1F1F1F"/>
        <rFont val="Noto Sans CJK SC"/>
        <family val="2"/>
      </rPr>
      <t>수면효율</t>
    </r>
    <r>
      <rPr>
        <b/>
        <sz val="10"/>
        <color rgb="FF1F1F1F"/>
        <rFont val="Arial"/>
        <charset val="1"/>
      </rPr>
      <t>·</t>
    </r>
    <r>
      <rPr>
        <b/>
        <sz val="10"/>
        <color rgb="FF1F1F1F"/>
        <rFont val="Noto Sans CJK SC"/>
        <family val="2"/>
      </rPr>
      <t>각성 함께 보기</t>
    </r>
  </si>
  <si>
    <t>08</t>
  </si>
  <si>
    <t>수면 중 심박수</t>
  </si>
  <si>
    <t>09</t>
  </si>
  <si>
    <t>호흡수</t>
  </si>
  <si>
    <t>10</t>
  </si>
  <si>
    <t>11</t>
  </si>
  <si>
    <r>
      <rPr>
        <b/>
        <sz val="10"/>
        <color rgb="FF1F1F1F"/>
        <rFont val="Noto Sans CJK SC"/>
        <family val="2"/>
      </rPr>
      <t>취침</t>
    </r>
    <r>
      <rPr>
        <b/>
        <sz val="10"/>
        <color rgb="FF1F1F1F"/>
        <rFont val="Arial"/>
        <charset val="1"/>
      </rPr>
      <t>·</t>
    </r>
    <r>
      <rPr>
        <b/>
        <sz val="10"/>
        <color rgb="FF1F1F1F"/>
        <rFont val="Noto Sans CJK SC"/>
        <family val="2"/>
      </rPr>
      <t>기상 시각 규칙성</t>
    </r>
  </si>
  <si>
    <t>13</t>
  </si>
  <si>
    <t>활동량</t>
  </si>
  <si>
    <t>14</t>
  </si>
  <si>
    <t>소모 칼로리</t>
  </si>
  <si>
    <t>15</t>
  </si>
  <si>
    <r>
      <rPr>
        <b/>
        <sz val="10"/>
        <color rgb="FF1F1F1F"/>
        <rFont val="Noto Sans CJK SC"/>
        <family val="2"/>
      </rPr>
      <t xml:space="preserve">활력점수 </t>
    </r>
    <r>
      <rPr>
        <b/>
        <sz val="10"/>
        <color rgb="FF1F1F1F"/>
        <rFont val="Arial"/>
        <charset val="1"/>
      </rPr>
      <t>(Vitality Score)</t>
    </r>
  </si>
  <si>
    <t>16</t>
  </si>
  <si>
    <t>종합진단</t>
  </si>
  <si>
    <t>17</t>
  </si>
  <si>
    <t>이상신호 스크리닝</t>
  </si>
  <si>
    <t>18</t>
  </si>
  <si>
    <t>루틴 제안</t>
  </si>
  <si>
    <r>
      <rPr>
        <b/>
        <sz val="11"/>
        <color rgb="FFFFFFFF"/>
        <rFont val="Noto Sans CJK SC"/>
        <family val="2"/>
      </rPr>
      <t>추가 카드</t>
    </r>
    <r>
      <rPr>
        <b/>
        <sz val="11"/>
        <color rgb="FFFFFFFF"/>
        <rFont val="Arial"/>
        <charset val="1"/>
      </rPr>
      <t>: 06</t>
    </r>
    <r>
      <rPr>
        <b/>
        <sz val="11"/>
        <color rgb="FFFFFFFF"/>
        <rFont val="Noto Sans CJK SC"/>
        <family val="2"/>
      </rPr>
      <t xml:space="preserve">페이지 </t>
    </r>
    <r>
      <rPr>
        <b/>
        <sz val="11"/>
        <color rgb="FFFFFFFF"/>
        <rFont val="Arial"/>
        <charset val="1"/>
      </rPr>
      <t>"</t>
    </r>
    <r>
      <rPr>
        <b/>
        <sz val="11"/>
        <color rgb="FFFFFFFF"/>
        <rFont val="Noto Sans CJK SC"/>
        <family val="2"/>
      </rPr>
      <t>각성 지속시간과 함께 보면</t>
    </r>
    <r>
      <rPr>
        <b/>
        <sz val="11"/>
        <color rgb="FFFFFFFF"/>
        <rFont val="Arial"/>
        <charset val="1"/>
      </rPr>
      <t>" (</t>
    </r>
    <r>
      <rPr>
        <b/>
        <sz val="11"/>
        <color rgb="FFFFFFFF"/>
        <rFont val="Noto Sans CJK SC"/>
        <family val="2"/>
      </rPr>
      <t>실측 각성시간 입력 시</t>
    </r>
    <r>
      <rPr>
        <b/>
        <sz val="11"/>
        <color rgb="FFFFFFFF"/>
        <rFont val="Arial"/>
        <charset val="1"/>
      </rPr>
      <t>)</t>
    </r>
  </si>
  <si>
    <t>06+</t>
  </si>
  <si>
    <r>
      <rPr>
        <b/>
        <sz val="10"/>
        <color rgb="FF1F1F1F"/>
        <rFont val="Noto Sans CJK SC"/>
        <family val="2"/>
      </rPr>
      <t xml:space="preserve">각성 지속시간 </t>
    </r>
    <r>
      <rPr>
        <b/>
        <sz val="10"/>
        <color rgb="FF1F1F1F"/>
        <rFont val="Arial"/>
        <charset val="1"/>
      </rPr>
      <t>(</t>
    </r>
    <r>
      <rPr>
        <b/>
        <sz val="10"/>
        <color rgb="FF1F1F1F"/>
        <rFont val="Noto Sans CJK SC"/>
        <family val="2"/>
      </rPr>
      <t>신규</t>
    </r>
    <r>
      <rPr>
        <b/>
        <sz val="10"/>
        <color rgb="FF1F1F1F"/>
        <rFont val="Arial"/>
        <charset val="1"/>
      </rPr>
      <t>)</t>
    </r>
  </si>
  <si>
    <r>
      <rPr>
        <b/>
        <sz val="16"/>
        <color rgb="FFFFFFFF"/>
        <rFont val="Arial"/>
        <charset val="1"/>
      </rPr>
      <t xml:space="preserve">S7. </t>
    </r>
    <r>
      <rPr>
        <b/>
        <sz val="16"/>
        <color rgb="FFFFFFFF"/>
        <rFont val="Noto Sans CJK SC"/>
        <family val="2"/>
      </rPr>
      <t xml:space="preserve">리포트값 요약 </t>
    </r>
    <r>
      <rPr>
        <b/>
        <sz val="16"/>
        <color rgb="FFFFFFFF"/>
        <rFont val="Arial"/>
        <charset val="1"/>
      </rPr>
      <t>(</t>
    </r>
    <r>
      <rPr>
        <b/>
        <sz val="16"/>
        <color rgb="FFFFFFFF"/>
        <rFont val="Noto Sans CJK SC"/>
        <family val="2"/>
      </rPr>
      <t>페이지별 최종 산출물</t>
    </r>
    <r>
      <rPr>
        <b/>
        <sz val="16"/>
        <color rgb="FFFFFFFF"/>
        <rFont val="Arial"/>
        <charset val="1"/>
      </rPr>
      <t>)</t>
    </r>
  </si>
  <si>
    <r>
      <rPr>
        <i/>
        <sz val="10"/>
        <color rgb="FF595959"/>
        <rFont val="Noto Sans CJK SC"/>
        <family val="2"/>
      </rPr>
      <t xml:space="preserve">새 대상자의 리포트를 만들 때 이 시트 한 장만 보면 됩니다 — 핵심수치 </t>
    </r>
    <r>
      <rPr>
        <i/>
        <sz val="10"/>
        <color rgb="FF595959"/>
        <rFont val="Arial"/>
        <charset val="1"/>
      </rPr>
      <t xml:space="preserve">+ </t>
    </r>
    <r>
      <rPr>
        <i/>
        <sz val="10"/>
        <color rgb="FF595959"/>
        <rFont val="Noto Sans CJK SC"/>
        <family val="2"/>
      </rPr>
      <t>문구 초안</t>
    </r>
    <r>
      <rPr>
        <i/>
        <sz val="10"/>
        <color rgb="FF595959"/>
        <rFont val="Arial"/>
        <charset val="1"/>
      </rPr>
      <t>.</t>
    </r>
  </si>
  <si>
    <t>핵심수치 요약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</si>
</sst>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hh:mm"/>
    <numFmt numFmtId="166" formatCode="0.0"/>
    <numFmt numFmtId="167" formatCode="\+#,##0;\-#,##0"/>
    <numFmt numFmtId="168" formatCode="\+0.0;\-0.0;0"/>
  </numFmts>
  <fonts count="19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i/>
      <sz val="10"/>
      <color rgb="FF595959"/>
      <name val="Noto Sans CJK SC"/>
      <family val="2"/>
    </font>
    <font>
      <i/>
      <sz val="10"/>
      <color rgb="FF595959"/>
      <name val="Arial"/>
      <charset val="1"/>
    </font>
    <font>
      <b/>
      <sz val="10"/>
      <color rgb="FFFFFFFF"/>
      <name val="Noto Sans CJK SC"/>
      <family val="2"/>
    </font>
    <font>
      <b/>
      <sz val="10"/>
      <color rgb="FF1F1F1F"/>
      <name val="Noto Sans CJK SC"/>
      <family val="2"/>
    </font>
    <font>
      <sz val="10"/>
      <name val="Arial"/>
      <charset val="1"/>
    </font>
    <font>
      <sz val="10"/>
      <name val="Noto Sans CJK SC"/>
      <family val="2"/>
    </font>
    <font>
      <b/>
      <sz val="10"/>
      <color rgb="FF1F1F1F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Noto Sans CJK SC"/>
      <family val="2"/>
    </font>
    <font>
      <i/>
      <sz val="9"/>
      <color rgb="FF808080"/>
      <name val="Arial"/>
      <charset val="1"/>
    </font>
    <font>
      <sz val="10"/>
      <color rgb="FF0000FF"/>
      <name val="Noto Sans CJK SC"/>
      <family val="2"/>
    </font>
    <font>
      <sz val="10"/>
      <color rgb="FF000000"/>
      <name val="Arial"/>
      <charset val="1"/>
    </font>
    <font>
      <b/>
      <sz val="11"/>
      <color rgb="FFFFFFFF"/>
      <name val="Noto Sans CJK SC"/>
      <family val="2"/>
    </font>
    <font>
      <b/>
      <sz val="11"/>
      <color rgb="FFFFFFFF"/>
      <name val="Arial"/>
      <charset val="1"/>
    </font>
    <font>
      <sz val="10"/>
      <color rgb="FF0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23555B"/>
        <bgColor rgb="FF595959"/>
      </patternFill>
    </fill>
    <fill>
      <patternFill patternType="solid">
        <fgColor rgb="FFEAF3F3"/>
        <bgColor rgb="FFFFFFFF"/>
      </patternFill>
    </fill>
    <fill>
      <patternFill patternType="solid">
        <fgColor rgb="FFFFF2CC"/>
        <bgColor rgb="FFF3E3D8"/>
      </patternFill>
    </fill>
    <fill>
      <patternFill patternType="solid">
        <fgColor rgb="FF8A5236"/>
        <bgColor rgb="FF595959"/>
      </patternFill>
    </fill>
    <fill>
      <patternFill patternType="solid">
        <fgColor rgb="FFF3E3D8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6" fontId="1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3" fontId="15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165" fontId="15" fillId="0" borderId="1" xfId="0" applyNumberFormat="1" applyFont="1" applyBorder="1"/>
    <xf numFmtId="2" fontId="15" fillId="0" borderId="1" xfId="0" applyNumberFormat="1" applyFont="1" applyBorder="1"/>
    <xf numFmtId="166" fontId="15" fillId="0" borderId="1" xfId="0" applyNumberFormat="1" applyFont="1" applyBorder="1"/>
    <xf numFmtId="1" fontId="15" fillId="0" borderId="1" xfId="0" applyNumberFormat="1" applyFont="1" applyBorder="1"/>
    <xf numFmtId="3" fontId="15" fillId="0" borderId="1" xfId="0" applyNumberFormat="1" applyFont="1" applyBorder="1"/>
    <xf numFmtId="167" fontId="15" fillId="0" borderId="1" xfId="0" applyNumberFormat="1" applyFont="1" applyBorder="1"/>
    <xf numFmtId="168" fontId="15" fillId="0" borderId="1" xfId="0" applyNumberFormat="1" applyFont="1" applyBorder="1"/>
    <xf numFmtId="0" fontId="18" fillId="0" borderId="1" xfId="0" applyFont="1" applyBorder="1" applyAlignment="1">
      <alignment horizontal="left" vertical="top" wrapText="1"/>
    </xf>
    <xf numFmtId="0" fontId="18" fillId="6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/>
    </xf>
    <xf numFmtId="0" fontId="16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5236"/>
      <rgbColor rgb="FFFFF2CC"/>
      <rgbColor rgb="FFEAF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8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23555B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F19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30" customWidth="1"/>
    <col min="2" max="6" width="17" customWidth="1"/>
  </cols>
  <sheetData>
    <row r="1" spans="1:6" ht="25.5" customHeight="1">
      <c r="A1" s="38" t="s">
        <v>0</v>
      </c>
      <c r="B1" s="38"/>
      <c r="C1" s="38"/>
      <c r="D1" s="38"/>
      <c r="E1" s="38"/>
      <c r="F1" s="38"/>
    </row>
    <row r="2" spans="1:6" ht="15.75" customHeight="1">
      <c r="A2" s="39" t="s">
        <v>1</v>
      </c>
      <c r="B2" s="39"/>
      <c r="C2" s="39"/>
      <c r="D2" s="39"/>
      <c r="E2" s="39"/>
      <c r="F2" s="39"/>
    </row>
    <row r="4" spans="1:6" ht="30" customHeight="1">
      <c r="A4" s="1" t="s">
        <v>2</v>
      </c>
      <c r="B4" s="1" t="s">
        <v>3</v>
      </c>
    </row>
    <row r="5" spans="1:6" ht="45.75" customHeight="1">
      <c r="A5" s="2" t="s">
        <v>4</v>
      </c>
      <c r="B5" s="37" t="s">
        <v>5</v>
      </c>
      <c r="C5" s="37"/>
      <c r="D5" s="37"/>
      <c r="E5" s="37"/>
      <c r="F5" s="37"/>
    </row>
    <row r="6" spans="1:6" ht="45.75" customHeight="1">
      <c r="A6" s="2" t="s">
        <v>6</v>
      </c>
      <c r="B6" s="37" t="s">
        <v>7</v>
      </c>
      <c r="C6" s="37"/>
      <c r="D6" s="37"/>
      <c r="E6" s="37"/>
      <c r="F6" s="37"/>
    </row>
    <row r="7" spans="1:6" ht="45.75" customHeight="1">
      <c r="A7" s="2" t="s">
        <v>8</v>
      </c>
      <c r="B7" s="37" t="s">
        <v>9</v>
      </c>
      <c r="C7" s="37"/>
      <c r="D7" s="37"/>
      <c r="E7" s="37"/>
      <c r="F7" s="37"/>
    </row>
    <row r="8" spans="1:6" ht="45.75" customHeight="1">
      <c r="A8" s="2" t="s">
        <v>10</v>
      </c>
      <c r="B8" s="37" t="s">
        <v>11</v>
      </c>
      <c r="C8" s="37"/>
      <c r="D8" s="37"/>
      <c r="E8" s="37"/>
      <c r="F8" s="37"/>
    </row>
    <row r="9" spans="1:6" ht="45.75" customHeight="1">
      <c r="A9" s="2" t="s">
        <v>12</v>
      </c>
      <c r="B9" s="37" t="s">
        <v>13</v>
      </c>
      <c r="C9" s="37"/>
      <c r="D9" s="37"/>
      <c r="E9" s="37"/>
      <c r="F9" s="37"/>
    </row>
    <row r="10" spans="1:6" ht="45.75" customHeight="1">
      <c r="A10" s="2" t="s">
        <v>14</v>
      </c>
      <c r="B10" s="36" t="s">
        <v>15</v>
      </c>
      <c r="C10" s="36"/>
      <c r="D10" s="36"/>
      <c r="E10" s="36"/>
      <c r="F10" s="36"/>
    </row>
    <row r="11" spans="1:6" ht="45.75" customHeight="1">
      <c r="A11" s="2" t="s">
        <v>16</v>
      </c>
      <c r="B11" s="36" t="s">
        <v>17</v>
      </c>
      <c r="C11" s="36"/>
      <c r="D11" s="36"/>
      <c r="E11" s="36"/>
      <c r="F11" s="36"/>
    </row>
    <row r="12" spans="1:6" ht="45.75" customHeight="1">
      <c r="A12" s="3" t="s">
        <v>18</v>
      </c>
      <c r="B12" s="36" t="s">
        <v>19</v>
      </c>
      <c r="C12" s="36"/>
      <c r="D12" s="36"/>
      <c r="E12" s="36"/>
      <c r="F12" s="36"/>
    </row>
    <row r="13" spans="1:6" ht="45.75" customHeight="1">
      <c r="A13" s="2" t="s">
        <v>20</v>
      </c>
      <c r="B13" s="37" t="s">
        <v>21</v>
      </c>
      <c r="C13" s="37"/>
      <c r="D13" s="37"/>
      <c r="E13" s="37"/>
      <c r="F13" s="37"/>
    </row>
    <row r="14" spans="1:6" ht="45.75" customHeight="1">
      <c r="A14" s="2" t="s">
        <v>22</v>
      </c>
      <c r="B14" s="36" t="s">
        <v>23</v>
      </c>
      <c r="C14" s="36"/>
      <c r="D14" s="36"/>
      <c r="E14" s="36"/>
      <c r="F14" s="36"/>
    </row>
    <row r="15" spans="1:6" ht="45.75" customHeight="1">
      <c r="A15" s="2" t="s">
        <v>24</v>
      </c>
      <c r="B15" s="36" t="s">
        <v>25</v>
      </c>
      <c r="C15" s="36"/>
      <c r="D15" s="36"/>
      <c r="E15" s="36"/>
      <c r="F15" s="36"/>
    </row>
    <row r="16" spans="1:6" ht="45.75" customHeight="1">
      <c r="A16" s="2" t="s">
        <v>26</v>
      </c>
      <c r="B16" s="37" t="s">
        <v>27</v>
      </c>
      <c r="C16" s="37"/>
      <c r="D16" s="37"/>
      <c r="E16" s="37"/>
      <c r="F16" s="37"/>
    </row>
    <row r="17" spans="1:6" ht="45.75" customHeight="1">
      <c r="A17" s="2" t="s">
        <v>28</v>
      </c>
      <c r="B17" s="36" t="s">
        <v>29</v>
      </c>
      <c r="C17" s="36"/>
      <c r="D17" s="36"/>
      <c r="E17" s="36"/>
      <c r="F17" s="36"/>
    </row>
    <row r="18" spans="1:6" ht="45.75" customHeight="1">
      <c r="A18" s="2" t="s">
        <v>30</v>
      </c>
      <c r="B18" s="36" t="s">
        <v>31</v>
      </c>
      <c r="C18" s="36"/>
      <c r="D18" s="36"/>
      <c r="E18" s="36"/>
      <c r="F18" s="36"/>
    </row>
    <row r="19" spans="1:6" ht="45.75" customHeight="1">
      <c r="A19" s="2" t="s">
        <v>32</v>
      </c>
      <c r="B19" s="36" t="s">
        <v>33</v>
      </c>
      <c r="C19" s="36"/>
      <c r="D19" s="36"/>
      <c r="E19" s="36"/>
      <c r="F19" s="36"/>
    </row>
  </sheetData>
  <mergeCells count="17">
    <mergeCell ref="A1:F1"/>
    <mergeCell ref="A2:F2"/>
    <mergeCell ref="B5:F5"/>
    <mergeCell ref="B6:F6"/>
    <mergeCell ref="B7:F7"/>
    <mergeCell ref="B8:F8"/>
    <mergeCell ref="B9:F9"/>
    <mergeCell ref="B10:F10"/>
    <mergeCell ref="B11:F11"/>
    <mergeCell ref="B12:F12"/>
    <mergeCell ref="B18:F18"/>
    <mergeCell ref="B19:F19"/>
    <mergeCell ref="B13:F13"/>
    <mergeCell ref="B14:F14"/>
    <mergeCell ref="B15:F15"/>
    <mergeCell ref="B16:F16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S12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6" customWidth="1"/>
    <col min="2" max="2" width="12" customWidth="1"/>
    <col min="3" max="19" width="15" customWidth="1"/>
  </cols>
  <sheetData>
    <row r="1" spans="1:19" ht="25.5" customHeight="1">
      <c r="A1" s="40" t="s">
        <v>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5.75" customHeight="1">
      <c r="A2" s="39" t="s">
        <v>35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4" spans="1:19" ht="30" customHeight="1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4" t="s">
        <v>47</v>
      </c>
      <c r="M4" s="4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</row>
    <row r="5" spans="1:19" ht="18" customHeight="1">
      <c r="A5" s="5" t="s">
        <v>55</v>
      </c>
      <c r="B5" s="6">
        <v>46273</v>
      </c>
      <c r="C5" s="7">
        <v>2.7777777777777801E-2</v>
      </c>
      <c r="D5" s="7">
        <v>0.27430555555555602</v>
      </c>
      <c r="E5" s="8">
        <v>19</v>
      </c>
      <c r="F5" s="9">
        <v>52</v>
      </c>
      <c r="G5" s="9">
        <v>159</v>
      </c>
      <c r="H5" s="9">
        <v>78</v>
      </c>
      <c r="I5" s="9">
        <v>2</v>
      </c>
      <c r="J5" s="9">
        <v>58</v>
      </c>
      <c r="K5" s="9">
        <v>15</v>
      </c>
      <c r="L5" s="9">
        <v>97</v>
      </c>
      <c r="M5" s="9">
        <v>96</v>
      </c>
      <c r="N5" s="9">
        <v>42</v>
      </c>
      <c r="O5" s="9">
        <v>6384</v>
      </c>
      <c r="P5" s="9">
        <v>1650</v>
      </c>
      <c r="Q5" s="9">
        <v>68</v>
      </c>
      <c r="R5" s="9">
        <v>44</v>
      </c>
      <c r="S5" s="9">
        <v>78</v>
      </c>
    </row>
    <row r="6" spans="1:19" ht="18" customHeight="1">
      <c r="A6" s="5" t="s">
        <v>56</v>
      </c>
      <c r="B6" s="6">
        <v>46274</v>
      </c>
      <c r="C6" s="7">
        <v>6.9444444444444397E-3</v>
      </c>
      <c r="D6" s="7">
        <v>0.27083333333333298</v>
      </c>
      <c r="E6" s="8">
        <v>28</v>
      </c>
      <c r="F6" s="9">
        <v>40</v>
      </c>
      <c r="G6" s="9">
        <v>174</v>
      </c>
      <c r="H6" s="9">
        <v>75</v>
      </c>
      <c r="I6" s="9">
        <v>3</v>
      </c>
      <c r="J6" s="9">
        <v>61</v>
      </c>
      <c r="K6" s="9">
        <v>16</v>
      </c>
      <c r="L6" s="9">
        <v>96</v>
      </c>
      <c r="M6" s="9">
        <v>95</v>
      </c>
      <c r="N6" s="9">
        <v>31</v>
      </c>
      <c r="O6" s="9">
        <v>4712</v>
      </c>
      <c r="P6" s="9">
        <v>1580</v>
      </c>
      <c r="Q6" s="9">
        <v>64</v>
      </c>
      <c r="R6" s="9">
        <v>66</v>
      </c>
      <c r="S6" s="9">
        <v>74</v>
      </c>
    </row>
    <row r="7" spans="1:19" ht="18" customHeight="1">
      <c r="A7" s="5" t="s">
        <v>57</v>
      </c>
      <c r="B7" s="6">
        <v>46275</v>
      </c>
      <c r="C7" s="7">
        <v>1.38888888888889E-2</v>
      </c>
      <c r="D7" s="7">
        <v>0.26041666666666702</v>
      </c>
      <c r="E7" s="8">
        <v>17</v>
      </c>
      <c r="F7" s="9">
        <v>59</v>
      </c>
      <c r="G7" s="9">
        <v>153</v>
      </c>
      <c r="H7" s="9">
        <v>83</v>
      </c>
      <c r="I7" s="9">
        <v>2</v>
      </c>
      <c r="J7" s="9">
        <v>57</v>
      </c>
      <c r="K7" s="9">
        <v>15</v>
      </c>
      <c r="L7" s="9">
        <v>97</v>
      </c>
      <c r="M7" s="9">
        <v>96</v>
      </c>
      <c r="N7" s="9">
        <v>55</v>
      </c>
      <c r="O7" s="9">
        <v>8360</v>
      </c>
      <c r="P7" s="9">
        <v>1720</v>
      </c>
      <c r="Q7" s="9">
        <v>72</v>
      </c>
      <c r="R7" s="9">
        <v>40</v>
      </c>
      <c r="S7" s="9">
        <v>84</v>
      </c>
    </row>
    <row r="8" spans="1:19" ht="18" customHeight="1">
      <c r="A8" s="5" t="s">
        <v>58</v>
      </c>
      <c r="B8" s="6">
        <v>46276</v>
      </c>
      <c r="C8" s="7">
        <v>2.4305555555555601E-2</v>
      </c>
      <c r="D8" s="7">
        <v>0.28125</v>
      </c>
      <c r="E8" s="8">
        <v>32</v>
      </c>
      <c r="F8" s="9">
        <v>36</v>
      </c>
      <c r="G8" s="9">
        <v>167</v>
      </c>
      <c r="H8" s="9">
        <v>71</v>
      </c>
      <c r="I8" s="9">
        <v>3</v>
      </c>
      <c r="J8" s="9">
        <v>60</v>
      </c>
      <c r="K8" s="9">
        <v>16</v>
      </c>
      <c r="L8" s="9">
        <v>96</v>
      </c>
      <c r="M8" s="9">
        <v>95</v>
      </c>
      <c r="N8" s="9">
        <v>24</v>
      </c>
      <c r="O8" s="9">
        <v>3648</v>
      </c>
      <c r="P8" s="9">
        <v>1540</v>
      </c>
      <c r="Q8" s="9">
        <v>60</v>
      </c>
      <c r="R8" s="9">
        <v>69</v>
      </c>
      <c r="S8" s="9">
        <v>65</v>
      </c>
    </row>
    <row r="9" spans="1:19" ht="18" customHeight="1">
      <c r="A9" s="5" t="s">
        <v>59</v>
      </c>
      <c r="B9" s="6">
        <v>46277</v>
      </c>
      <c r="C9" s="7">
        <v>4.5138888888888902E-2</v>
      </c>
      <c r="D9" s="7">
        <v>0.26388888888888901</v>
      </c>
      <c r="E9" s="8">
        <v>34</v>
      </c>
      <c r="F9" s="9">
        <v>19</v>
      </c>
      <c r="G9" s="9">
        <v>141</v>
      </c>
      <c r="H9" s="9">
        <v>54</v>
      </c>
      <c r="I9" s="9">
        <v>4</v>
      </c>
      <c r="J9" s="9">
        <v>71</v>
      </c>
      <c r="K9" s="9">
        <v>19</v>
      </c>
      <c r="L9" s="9">
        <v>93</v>
      </c>
      <c r="M9" s="9">
        <v>92</v>
      </c>
      <c r="N9" s="9">
        <v>18</v>
      </c>
      <c r="O9" s="9">
        <v>2736</v>
      </c>
      <c r="P9" s="9">
        <v>1490</v>
      </c>
      <c r="Q9" s="9">
        <v>50</v>
      </c>
      <c r="R9" s="9">
        <v>63</v>
      </c>
      <c r="S9" s="9">
        <v>66</v>
      </c>
    </row>
    <row r="10" spans="1:19" ht="18" customHeight="1">
      <c r="A10" s="5" t="s">
        <v>60</v>
      </c>
      <c r="B10" s="6">
        <v>46278</v>
      </c>
      <c r="C10" s="7">
        <v>0.96875</v>
      </c>
      <c r="D10" s="7">
        <v>0.29513888888888901</v>
      </c>
      <c r="E10" s="8">
        <v>15</v>
      </c>
      <c r="F10" s="9">
        <v>88</v>
      </c>
      <c r="G10" s="9">
        <v>192</v>
      </c>
      <c r="H10" s="9">
        <v>120</v>
      </c>
      <c r="I10" s="9">
        <v>2</v>
      </c>
      <c r="J10" s="9">
        <v>55</v>
      </c>
      <c r="K10" s="9">
        <v>14</v>
      </c>
      <c r="L10" s="9">
        <v>98</v>
      </c>
      <c r="M10" s="9">
        <v>97</v>
      </c>
      <c r="N10" s="9">
        <v>62</v>
      </c>
      <c r="O10" s="9">
        <v>9424</v>
      </c>
      <c r="P10" s="9">
        <v>1780</v>
      </c>
      <c r="Q10" s="9">
        <v>74</v>
      </c>
      <c r="R10" s="9">
        <v>58</v>
      </c>
      <c r="S10" s="9">
        <v>83</v>
      </c>
    </row>
    <row r="11" spans="1:19" ht="18" customHeight="1">
      <c r="A11" s="5" t="s">
        <v>61</v>
      </c>
      <c r="B11" s="6">
        <v>46279</v>
      </c>
      <c r="C11" s="7">
        <v>0.99652777777777801</v>
      </c>
      <c r="D11" s="7">
        <v>0.28819444444444398</v>
      </c>
      <c r="E11" s="8">
        <v>20</v>
      </c>
      <c r="F11" s="9">
        <v>65</v>
      </c>
      <c r="G11" s="9">
        <v>182</v>
      </c>
      <c r="H11" s="9">
        <v>97</v>
      </c>
      <c r="I11" s="9">
        <v>3</v>
      </c>
      <c r="J11" s="9">
        <v>56</v>
      </c>
      <c r="K11" s="9">
        <v>15</v>
      </c>
      <c r="L11" s="9">
        <v>97</v>
      </c>
      <c r="M11" s="9">
        <v>96</v>
      </c>
      <c r="N11" s="9">
        <v>45</v>
      </c>
      <c r="O11" s="9">
        <v>6840</v>
      </c>
      <c r="P11" s="9">
        <v>1660</v>
      </c>
      <c r="Q11" s="9">
        <v>70</v>
      </c>
      <c r="R11" s="9">
        <v>59</v>
      </c>
      <c r="S11" s="9">
        <v>79</v>
      </c>
    </row>
    <row r="12" spans="1:19" ht="30" customHeight="1">
      <c r="A12" s="41" t="s">
        <v>62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</row>
  </sheetData>
  <mergeCells count="3">
    <mergeCell ref="A1:S1"/>
    <mergeCell ref="A2:S2"/>
    <mergeCell ref="A12:S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D12"/>
  <sheetViews>
    <sheetView showGridLines="0" zoomScaleNormal="100" workbookViewId="0"/>
  </sheetViews>
  <sheetFormatPr defaultColWidth="8.7109375" defaultRowHeight="15"/>
  <cols>
    <col min="1" max="1" width="34" customWidth="1"/>
    <col min="2" max="2" width="16" customWidth="1"/>
    <col min="3" max="3" width="55" customWidth="1"/>
  </cols>
  <sheetData>
    <row r="1" spans="1:4" ht="25.5" customHeight="1">
      <c r="A1" s="40" t="s">
        <v>63</v>
      </c>
      <c r="B1" s="40"/>
      <c r="C1" s="40"/>
      <c r="D1" s="40"/>
    </row>
    <row r="2" spans="1:4" ht="15.75" customHeight="1">
      <c r="A2" s="42" t="s">
        <v>64</v>
      </c>
      <c r="B2" s="42"/>
      <c r="C2" s="42"/>
      <c r="D2" s="42"/>
    </row>
    <row r="4" spans="1:4" ht="30" customHeight="1">
      <c r="A4" s="1" t="s">
        <v>2</v>
      </c>
      <c r="B4" s="1" t="s">
        <v>65</v>
      </c>
      <c r="C4" s="1"/>
      <c r="D4" s="1"/>
    </row>
    <row r="5" spans="1:4">
      <c r="A5" s="10" t="s">
        <v>66</v>
      </c>
      <c r="B5" s="11" t="s">
        <v>67</v>
      </c>
    </row>
    <row r="6" spans="1:4">
      <c r="A6" s="10" t="s">
        <v>68</v>
      </c>
      <c r="B6" s="11" t="s">
        <v>69</v>
      </c>
    </row>
    <row r="7" spans="1:4">
      <c r="A7" s="10" t="s">
        <v>70</v>
      </c>
      <c r="B7" s="9">
        <v>45</v>
      </c>
    </row>
    <row r="8" spans="1:4">
      <c r="A8" s="10" t="s">
        <v>71</v>
      </c>
      <c r="B8" s="9">
        <v>58</v>
      </c>
    </row>
    <row r="9" spans="1:4">
      <c r="A9" s="10" t="s">
        <v>72</v>
      </c>
      <c r="B9" s="9">
        <v>162</v>
      </c>
    </row>
    <row r="11" spans="1:4">
      <c r="A11" s="12" t="s">
        <v>73</v>
      </c>
      <c r="B11" s="13">
        <f>IFERROR(B8/((B9/100)^2),"")</f>
        <v>22.10028959000152</v>
      </c>
    </row>
    <row r="12" spans="1:4">
      <c r="A12" s="14" t="s">
        <v>74</v>
      </c>
      <c r="B12" s="15">
        <f>IFERROR(IF(B6="남",10*B8+6.25*B9-5*B7+5,10*B8+6.25*B9-5*B7-161),"")</f>
        <v>1206.5</v>
      </c>
      <c r="C12" s="16" t="s">
        <v>75</v>
      </c>
    </row>
  </sheetData>
  <mergeCells count="2">
    <mergeCell ref="A1:D1"/>
    <mergeCell ref="A2:D2"/>
  </mergeCells>
  <dataValidations count="1">
    <dataValidation type="list" allowBlank="1" sqref="B6" xr:uid="{00000000-0002-0000-0200-000000000000}">
      <formula1>"남,여"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2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0" customWidth="1"/>
    <col min="2" max="3" width="10" customWidth="1"/>
    <col min="4" max="4" width="12" customWidth="1"/>
    <col min="5" max="5" width="9" customWidth="1"/>
    <col min="6" max="6" width="55" customWidth="1"/>
  </cols>
  <sheetData>
    <row r="1" spans="1:6" ht="25.5" customHeight="1">
      <c r="A1" s="40" t="s">
        <v>76</v>
      </c>
      <c r="B1" s="40"/>
      <c r="C1" s="40"/>
      <c r="D1" s="40"/>
      <c r="E1" s="40"/>
      <c r="F1" s="40"/>
    </row>
    <row r="2" spans="1:6" ht="15.75" customHeight="1">
      <c r="A2" s="39" t="s">
        <v>77</v>
      </c>
      <c r="B2" s="39"/>
      <c r="C2" s="39"/>
      <c r="D2" s="39"/>
      <c r="E2" s="39"/>
      <c r="F2" s="39"/>
    </row>
    <row r="4" spans="1:6" ht="30" customHeight="1">
      <c r="A4" s="1" t="s">
        <v>2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</row>
    <row r="5" spans="1:6">
      <c r="A5" s="14" t="s">
        <v>83</v>
      </c>
      <c r="B5" s="17">
        <v>360</v>
      </c>
      <c r="C5" s="17">
        <v>480</v>
      </c>
      <c r="D5" s="17">
        <v>420</v>
      </c>
      <c r="E5" s="18" t="s">
        <v>84</v>
      </c>
      <c r="F5" s="19" t="s">
        <v>85</v>
      </c>
    </row>
    <row r="6" spans="1:6">
      <c r="A6" s="14" t="s">
        <v>86</v>
      </c>
      <c r="B6" s="17">
        <v>85</v>
      </c>
      <c r="C6" s="17"/>
      <c r="D6" s="17">
        <v>85</v>
      </c>
      <c r="E6" s="20" t="s">
        <v>87</v>
      </c>
      <c r="F6" s="19" t="s">
        <v>88</v>
      </c>
    </row>
    <row r="7" spans="1:6">
      <c r="A7" s="14" t="s">
        <v>89</v>
      </c>
      <c r="B7" s="17"/>
      <c r="C7" s="17">
        <v>20</v>
      </c>
      <c r="D7" s="17">
        <v>20</v>
      </c>
      <c r="E7" s="18" t="s">
        <v>84</v>
      </c>
      <c r="F7" s="19" t="s">
        <v>90</v>
      </c>
    </row>
    <row r="8" spans="1:6">
      <c r="A8" s="14" t="s">
        <v>91</v>
      </c>
      <c r="B8" s="17"/>
      <c r="C8" s="17">
        <v>2</v>
      </c>
      <c r="D8" s="17">
        <v>2</v>
      </c>
      <c r="E8" s="18" t="s">
        <v>92</v>
      </c>
      <c r="F8" s="19" t="s">
        <v>93</v>
      </c>
    </row>
    <row r="9" spans="1:6">
      <c r="A9" s="14" t="s">
        <v>94</v>
      </c>
      <c r="B9" s="17">
        <v>45</v>
      </c>
      <c r="C9" s="17">
        <v>70</v>
      </c>
      <c r="D9" s="17"/>
      <c r="E9" s="20" t="s">
        <v>95</v>
      </c>
      <c r="F9" s="19" t="s">
        <v>96</v>
      </c>
    </row>
    <row r="10" spans="1:6">
      <c r="A10" s="14" t="s">
        <v>97</v>
      </c>
      <c r="B10" s="17">
        <v>12</v>
      </c>
      <c r="C10" s="17">
        <v>20</v>
      </c>
      <c r="D10" s="17"/>
      <c r="E10" s="18" t="s">
        <v>98</v>
      </c>
      <c r="F10" s="19" t="s">
        <v>99</v>
      </c>
    </row>
    <row r="11" spans="1:6">
      <c r="A11" s="12" t="s">
        <v>100</v>
      </c>
      <c r="B11" s="17">
        <v>95</v>
      </c>
      <c r="C11" s="17"/>
      <c r="D11" s="17"/>
      <c r="E11" s="20" t="s">
        <v>87</v>
      </c>
      <c r="F11" s="19" t="s">
        <v>101</v>
      </c>
    </row>
    <row r="12" spans="1:6">
      <c r="A12" s="14" t="s">
        <v>102</v>
      </c>
      <c r="B12" s="17"/>
      <c r="C12" s="17">
        <v>20</v>
      </c>
      <c r="D12" s="17"/>
      <c r="E12" s="18" t="s">
        <v>84</v>
      </c>
      <c r="F12" s="19" t="s">
        <v>103</v>
      </c>
    </row>
    <row r="13" spans="1:6">
      <c r="A13" s="14" t="s">
        <v>104</v>
      </c>
      <c r="B13" s="17"/>
      <c r="C13" s="17">
        <v>20</v>
      </c>
      <c r="D13" s="17"/>
      <c r="E13" s="18" t="s">
        <v>84</v>
      </c>
      <c r="F13" s="19" t="s">
        <v>103</v>
      </c>
    </row>
    <row r="14" spans="1:6">
      <c r="A14" s="14" t="s">
        <v>105</v>
      </c>
      <c r="B14" s="17">
        <v>150</v>
      </c>
      <c r="C14" s="17"/>
      <c r="D14" s="17"/>
      <c r="E14" s="18" t="s">
        <v>106</v>
      </c>
      <c r="F14" s="21" t="s">
        <v>107</v>
      </c>
    </row>
    <row r="15" spans="1:6">
      <c r="A15" s="14" t="s">
        <v>108</v>
      </c>
      <c r="B15" s="17"/>
      <c r="C15" s="17"/>
      <c r="D15" s="17">
        <v>50</v>
      </c>
      <c r="E15" s="18" t="s">
        <v>109</v>
      </c>
      <c r="F15" s="21" t="s">
        <v>110</v>
      </c>
    </row>
    <row r="16" spans="1:6" ht="26.85">
      <c r="A16" s="14" t="s">
        <v>111</v>
      </c>
      <c r="B16" s="17">
        <v>8</v>
      </c>
      <c r="C16" s="17"/>
      <c r="D16" s="17"/>
      <c r="E16" s="20" t="s">
        <v>95</v>
      </c>
      <c r="F16" s="19" t="s">
        <v>112</v>
      </c>
    </row>
    <row r="17" spans="1:6">
      <c r="A17" s="14" t="s">
        <v>113</v>
      </c>
      <c r="B17" s="17">
        <v>2</v>
      </c>
      <c r="C17" s="17"/>
      <c r="D17" s="17"/>
      <c r="E17" s="18" t="s">
        <v>98</v>
      </c>
      <c r="F17" s="19" t="s">
        <v>114</v>
      </c>
    </row>
    <row r="18" spans="1:6">
      <c r="A18" s="14" t="s">
        <v>115</v>
      </c>
      <c r="B18" s="17">
        <v>2</v>
      </c>
      <c r="C18" s="17"/>
      <c r="D18" s="17"/>
      <c r="E18" s="20" t="s">
        <v>116</v>
      </c>
      <c r="F18" s="19" t="s">
        <v>117</v>
      </c>
    </row>
    <row r="19" spans="1:6">
      <c r="A19" s="14" t="s">
        <v>118</v>
      </c>
      <c r="B19" s="17">
        <v>4</v>
      </c>
      <c r="C19" s="17"/>
      <c r="D19" s="17"/>
      <c r="E19" s="20" t="s">
        <v>119</v>
      </c>
      <c r="F19" s="19" t="s">
        <v>120</v>
      </c>
    </row>
    <row r="20" spans="1:6">
      <c r="A20" s="14" t="s">
        <v>121</v>
      </c>
      <c r="B20" s="17"/>
      <c r="C20" s="17"/>
      <c r="D20" s="17">
        <v>7</v>
      </c>
      <c r="E20" s="18" t="s">
        <v>122</v>
      </c>
      <c r="F20" s="21" t="s">
        <v>123</v>
      </c>
    </row>
    <row r="21" spans="1:6">
      <c r="A21" s="14" t="s">
        <v>124</v>
      </c>
      <c r="B21" s="17"/>
      <c r="C21" s="17"/>
      <c r="D21" s="17">
        <v>85</v>
      </c>
      <c r="E21" s="20" t="s">
        <v>87</v>
      </c>
      <c r="F21" s="21" t="s">
        <v>123</v>
      </c>
    </row>
    <row r="22" spans="1:6">
      <c r="A22" s="14" t="s">
        <v>125</v>
      </c>
      <c r="B22" s="17"/>
      <c r="C22" s="17"/>
      <c r="D22" s="17">
        <v>30</v>
      </c>
      <c r="E22" s="18" t="s">
        <v>84</v>
      </c>
      <c r="F22" s="21" t="s">
        <v>126</v>
      </c>
    </row>
    <row r="23" spans="1:6" ht="77.650000000000006">
      <c r="A23" s="14" t="s">
        <v>127</v>
      </c>
      <c r="B23" s="17"/>
      <c r="C23" s="17"/>
      <c r="D23" s="17">
        <v>5</v>
      </c>
      <c r="E23" s="20" t="s">
        <v>116</v>
      </c>
      <c r="F23" s="19" t="s">
        <v>128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555B"/>
  </sheetPr>
  <dimension ref="A1:AQ11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6" customWidth="1"/>
    <col min="2" max="38" width="16" customWidth="1"/>
    <col min="39" max="39" width="42" customWidth="1"/>
    <col min="40" max="41" width="16" customWidth="1"/>
    <col min="42" max="42" width="40" customWidth="1"/>
    <col min="43" max="43" width="24" customWidth="1"/>
  </cols>
  <sheetData>
    <row r="1" spans="1:43" ht="25.5" customHeight="1">
      <c r="A1" s="40" t="s">
        <v>129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</row>
    <row r="2" spans="1:43" ht="15.75" customHeight="1">
      <c r="A2" s="42" t="s">
        <v>130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4" spans="1:43" ht="30" customHeight="1">
      <c r="A4" s="1" t="s">
        <v>36</v>
      </c>
      <c r="B4" s="1" t="s">
        <v>37</v>
      </c>
      <c r="C4" s="1" t="s">
        <v>131</v>
      </c>
      <c r="D4" s="1" t="s">
        <v>132</v>
      </c>
      <c r="E4" s="1" t="s">
        <v>133</v>
      </c>
      <c r="F4" s="1" t="s">
        <v>134</v>
      </c>
      <c r="G4" s="1" t="s">
        <v>135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91</v>
      </c>
      <c r="N4" s="1" t="s">
        <v>141</v>
      </c>
      <c r="O4" s="1" t="s">
        <v>142</v>
      </c>
      <c r="P4" s="4" t="s">
        <v>143</v>
      </c>
      <c r="Q4" s="4" t="s">
        <v>144</v>
      </c>
      <c r="R4" s="1" t="s">
        <v>49</v>
      </c>
      <c r="S4" s="1" t="s">
        <v>145</v>
      </c>
      <c r="T4" s="1" t="s">
        <v>146</v>
      </c>
      <c r="U4" s="1" t="s">
        <v>147</v>
      </c>
      <c r="V4" s="4" t="s">
        <v>148</v>
      </c>
      <c r="W4" s="1" t="s">
        <v>149</v>
      </c>
      <c r="X4" s="4" t="s">
        <v>150</v>
      </c>
      <c r="Y4" s="1" t="s">
        <v>151</v>
      </c>
      <c r="Z4" s="1" t="s">
        <v>152</v>
      </c>
      <c r="AA4" s="1" t="s">
        <v>153</v>
      </c>
      <c r="AB4" s="4" t="s">
        <v>154</v>
      </c>
      <c r="AC4" s="4" t="s">
        <v>155</v>
      </c>
      <c r="AD4" s="4" t="s">
        <v>156</v>
      </c>
      <c r="AE4" s="1" t="s">
        <v>157</v>
      </c>
      <c r="AF4" s="1" t="s">
        <v>158</v>
      </c>
      <c r="AG4" s="1" t="s">
        <v>159</v>
      </c>
      <c r="AH4" s="1" t="s">
        <v>160</v>
      </c>
      <c r="AI4" s="1" t="s">
        <v>161</v>
      </c>
      <c r="AJ4" s="1" t="s">
        <v>162</v>
      </c>
      <c r="AK4" s="1" t="s">
        <v>163</v>
      </c>
      <c r="AL4" s="1" t="s">
        <v>164</v>
      </c>
      <c r="AM4" s="4" t="s">
        <v>165</v>
      </c>
      <c r="AN4" s="1" t="s">
        <v>166</v>
      </c>
      <c r="AO4" s="1" t="s">
        <v>167</v>
      </c>
      <c r="AP4" s="4" t="s">
        <v>168</v>
      </c>
      <c r="AQ4" s="1" t="s">
        <v>169</v>
      </c>
    </row>
    <row r="5" spans="1:43" ht="15.75" customHeight="1">
      <c r="A5" s="22" t="str">
        <f>S1_Input_Raw!A5</f>
        <v>월</v>
      </c>
      <c r="B5" s="23">
        <f>S1_Input_Raw!B5</f>
        <v>46273</v>
      </c>
      <c r="C5" s="25">
        <f>IF(OR(ISBLANK(S1_Input_Raw!C5),ISBLANK(S1_Input_Raw!D5),ISBLANK(S1_Input_Raw!F5)),"",IF(S1_Input_Raw!C5&gt;=0.5,(S1_Input_Raw!C5-1)*1440,S1_Input_Raw!C5*1440))</f>
        <v>40.000000000000036</v>
      </c>
      <c r="D5" s="25">
        <f>IF(OR(ISBLANK(S1_Input_Raw!C5),ISBLANK(S1_Input_Raw!D5),ISBLANK(S1_Input_Raw!F5)),"",S1_Input_Raw!D5*1440)</f>
        <v>395.00000000000068</v>
      </c>
      <c r="E5" s="25">
        <f>IF(OR(ISBLANK(S1_Input_Raw!C5),ISBLANK(S1_Input_Raw!D5),ISBLANK(S1_Input_Raw!F5)),"",D5-C5)</f>
        <v>355.00000000000063</v>
      </c>
      <c r="F5" s="25">
        <f>IF(OR(ISBLANK(S1_Input_Raw!C5),ISBLANK(S1_Input_Raw!D5),ISBLANK(S1_Input_Raw!F5)),"",S1_Input_Raw!F5+S1_Input_Raw!G5+S1_Input_Raw!H5)</f>
        <v>289</v>
      </c>
      <c r="G5" s="25">
        <f>IF(OR(ISBLANK(S1_Input_Raw!C5),ISBLANK(S1_Input_Raw!D5),ISBLANK(S1_Input_Raw!F5)),"",E5-S1_Input_Raw!E5-F5)</f>
        <v>47.000000000000625</v>
      </c>
      <c r="H5" s="13">
        <f>IF(OR(ISBLANK(S1_Input_Raw!C5),ISBLANK(S1_Input_Raw!D5),ISBLANK(S1_Input_Raw!F5)),"",IFERROR(F5/E5*100,""))</f>
        <v>81.408450704225217</v>
      </c>
      <c r="I5" s="13">
        <f>IF(OR(ISBLANK(S1_Input_Raw!C5),ISBLANK(S1_Input_Raw!D5),ISBLANK(S1_Input_Raw!F5)),"",IFERROR(S1_Input_Raw!F5/F5*100,""))</f>
        <v>17.993079584775089</v>
      </c>
      <c r="J5" s="13">
        <f>IF(OR(ISBLANK(S1_Input_Raw!C5),ISBLANK(S1_Input_Raw!D5),ISBLANK(S1_Input_Raw!F5)),"",IFERROR(S1_Input_Raw!G5/F5*100,""))</f>
        <v>55.017301038062286</v>
      </c>
      <c r="K5" s="13">
        <f>IF(OR(ISBLANK(S1_Input_Raw!C5),ISBLANK(S1_Input_Raw!D5),ISBLANK(S1_Input_Raw!F5)),"",IFERROR(S1_Input_Raw!H5/F5*100,""))</f>
        <v>26.989619377162633</v>
      </c>
      <c r="L5" s="24">
        <f>IF(OR(ISBLANK(S1_Input_Raw!C5),ISBLANK(S1_Input_Raw!D5),ISBLANK(S1_Input_Raw!F5)),"",S1_Input_Raw!E5)</f>
        <v>19</v>
      </c>
      <c r="M5" s="25">
        <f>IF(OR(ISBLANK(S1_Input_Raw!C5),ISBLANK(S1_Input_Raw!D5),ISBLANK(S1_Input_Raw!F5)),"",S1_Input_Raw!I5)</f>
        <v>2</v>
      </c>
      <c r="N5" s="25">
        <f>IF(OR(ISBLANK(S1_Input_Raw!C5),ISBLANK(S1_Input_Raw!D5),ISBLANK(S1_Input_Raw!F5)),"",S1_Input_Raw!J5)</f>
        <v>58</v>
      </c>
      <c r="O5" s="25">
        <f>IF(OR(ISBLANK(S1_Input_Raw!C5),ISBLANK(S1_Input_Raw!D5),ISBLANK(S1_Input_Raw!F5)),"",S1_Input_Raw!K5)</f>
        <v>15</v>
      </c>
      <c r="P5" s="25">
        <f>IF(OR(ISBLANK(S1_Input_Raw!C5),ISBLANK(S1_Input_Raw!D5),ISBLANK(S1_Input_Raw!F5)),"",S1_Input_Raw!L5)</f>
        <v>97</v>
      </c>
      <c r="Q5" s="25">
        <f>IF(OR(ISBLANK(S1_Input_Raw!C5),ISBLANK(S1_Input_Raw!D5),ISBLANK(S1_Input_Raw!F5)),"",S1_Input_Raw!M5)</f>
        <v>96</v>
      </c>
      <c r="R5" s="25">
        <f>IF(OR(ISBLANK(S1_Input_Raw!C5),ISBLANK(S1_Input_Raw!D5),ISBLANK(S1_Input_Raw!F5)),"",S1_Input_Raw!N5)</f>
        <v>42</v>
      </c>
      <c r="S5" s="25">
        <f>IF(OR(ISBLANK(S1_Input_Raw!C5),ISBLANK(S1_Input_Raw!D5),ISBLANK(S1_Input_Raw!F5)),"",S1_Input_Raw!O5)</f>
        <v>6384</v>
      </c>
      <c r="T5" s="25">
        <f>IF(OR(ISBLANK(S1_Input_Raw!C5),ISBLANK(S1_Input_Raw!D5),ISBLANK(S1_Input_Raw!F5)),"",S1_Input_Raw!P5)</f>
        <v>1650</v>
      </c>
      <c r="U5" s="25">
        <f>IF(OR(ISBLANK(S1_Input_Raw!C5),ISBLANK(S1_Input_Raw!D5),ISBLANK(S1_Input_Raw!F5)),"",S1_Input_Raw!Q5)</f>
        <v>68</v>
      </c>
      <c r="V5" s="15">
        <f>IF(OR(ISBLANK(S1_Input_Raw!C5),ISBLANK(S1_Input_Raw!D5),ISBLANK(S1_Input_Raw!F5)),"",NR_BMR)</f>
        <v>1206.5</v>
      </c>
      <c r="W5" s="15">
        <f>IF(OR(ISBLANK(S1_Input_Raw!C5),ISBLANK(S1_Input_Raw!D5),ISBLANK(S1_Input_Raw!F5)),"",IFERROR(NR_MET*3.5*NR_WEIGHT/200*R5,""))</f>
        <v>170.51999999999998</v>
      </c>
      <c r="X5" s="15">
        <f>IF(OR(ISBLANK(S1_Input_Raw!C5),ISBLANK(S1_Input_Raw!D5),ISBLANK(S1_Input_Raw!F5)),"",IFERROR(V5+W5,""))</f>
        <v>1377.02</v>
      </c>
      <c r="Y5" s="15">
        <f>IF(OR(ISBLANK(S1_Input_Raw!C5),ISBLANK(S1_Input_Raw!D5),ISBLANK(S1_Input_Raw!F5)),"",IFERROR(T5-X5,""))</f>
        <v>272.98</v>
      </c>
      <c r="Z5" s="25" t="str">
        <f>IF(OR(ISBLANK(S1_Input_Raw!C5),ISBLANK(S1_Input_Raw!D5),ISBLANK(S1_Input_Raw!F5)),"",IF(AND(L5&gt;NR_SOL_REF,M5&gt;NR_AWAKE_REF,AQ5&lt;NR_SE_REF),"복합형(잠들기어려움+자주깨어남)",IF(AND(L5&lt;=NR_SOL_REF,M5&gt;NR_AWAKE_REF),"자주깨어남형",IF(AND(L5&gt;NR_SOL_REF,M5&lt;=NR_AWAKE_REF),"잠들기어려움형","양호"))))</f>
        <v>양호</v>
      </c>
      <c r="AA5" s="25" t="str">
        <f>IF(OR(ISBLANK(S1_Input_Raw!C5),ISBLANK(S1_Input_Raw!D5),ISBLANK(S1_Input_Raw!F5)),"",IFERROR(IF(R5&lt;=PERCENTILE($R$5:$R$11,1/3),"저활동",IF(R5&lt;=PERCENTILE($R$5:$R$11,2/3),"중활동","고활동")),""))</f>
        <v>중활동</v>
      </c>
      <c r="AB5" s="25">
        <f>IF(OR(ISBLANK(S1_Input_Raw!C5),ISBLANK(S1_Input_Raw!D5),ISBLANK(S1_Input_Raw!F5)),"",N5-AVERAGE($N$5:$N$11))</f>
        <v>-1.7142857142857153</v>
      </c>
      <c r="AC5" s="25">
        <f>IF(OR(ISBLANK(S1_Input_Raw!C5),ISBLANK(S1_Input_Raw!D5),ISBLANK(S1_Input_Raw!F5)),"",O5-AVERAGE($O$5:$O$11))</f>
        <v>-0.71428571428571352</v>
      </c>
      <c r="AD5" s="25">
        <f>IF(OR(ISBLANK(S1_Input_Raw!C5),ISBLANK(S1_Input_Raw!D5),ISBLANK(S1_Input_Raw!F5)),"",AVERAGE($P$5:$P$11)-P5)</f>
        <v>-0.7142857142857082</v>
      </c>
      <c r="AE5" s="25" t="b">
        <f>IF(OR(ISBLANK(S1_Input_Raw!C5),ISBLANK(S1_Input_Raw!D5),ISBLANK(S1_Input_Raw!F5)),FALSE(),AND(AB5&gt;=NR_DEV_HR,AC5&gt;=NR_DEV_RR,AD5&gt;=NR_DEV_SPO2))</f>
        <v>0</v>
      </c>
      <c r="AF5" s="25" t="b">
        <f>IF(OR(ISBLANK(S1_Input_Raw!C5),ISBLANK(S1_Input_Raw!D5),ISBLANK(S1_Input_Raw!F5)),FALSE(),R5=MIN($R$5:$R$11))</f>
        <v>0</v>
      </c>
      <c r="AG5" s="25" t="b">
        <f>IF(OR(ISBLANK(S1_Input_Raw!C5),ISBLANK(S1_Input_Raw!D5),ISBLANK(S1_Input_Raw!F5)),FALSE(),U5=MIN($U$5:$U$11))</f>
        <v>0</v>
      </c>
      <c r="AH5" s="25" t="b">
        <f>IF(OR(ISBLANK(S1_Input_Raw!C5),ISBLANK(S1_Input_Raw!D5),ISBLANK(S1_Input_Raw!F5)),FALSE(),AND(AE5,OR(AF5,AG5)))</f>
        <v>0</v>
      </c>
      <c r="AI5" s="25">
        <f>IF(OR(ISBLANK(S1_Input_Raw!C5),ISBLANK(S1_Input_Raw!D5),ISBLANK(S1_Input_Raw!F5)),"",IF(S1_Input_Raw!R5="",G5,S1_Input_Raw!R5))</f>
        <v>44</v>
      </c>
      <c r="AJ5" s="13">
        <f>IF(OR(ISBLANK(S1_Input_Raw!C5),ISBLANK(S1_Input_Raw!D5),ISBLANK(S1_Input_Raw!F5)),"",IFERROR(AI5/M5,""))</f>
        <v>22</v>
      </c>
      <c r="AK5" s="25">
        <f>IF(OR(ISBLANK(S1_Input_Raw!C5),ISBLANK(S1_Input_Raw!D5),ISBLANK(S1_Input_Raw!F5)),"",IF(S1_Input_Raw!R5="",0,AI5-G5))</f>
        <v>-3.0000000000006253</v>
      </c>
      <c r="AL5" s="25" t="str">
        <f>IF(OR(ISBLANK(S1_Input_Raw!C5),ISBLANK(S1_Input_Raw!D5),ISBLANK(S1_Input_Raw!F5)),"미모니터링","모니터링됨")</f>
        <v>모니터링됨</v>
      </c>
      <c r="AM5" s="25" t="str">
        <f>IF(OR(ISBLANK(S1_Input_Raw!C5),ISBLANK(S1_Input_Raw!D5),ISBLANK(S1_Input_Raw!F5)),"",IF(G5&lt;0,"⚠ TIB가 SOL+TST보다 작음 — 취침·기상시각 확인 필요","정상"))</f>
        <v>정상</v>
      </c>
      <c r="AN5" s="13">
        <f>IF(OR(ISBLANK(S1_Input_Raw!C5),ISBLANK(S1_Input_Raw!D5),ISBLANK(S1_Input_Raw!F5)),"",IF(S1_Input_Raw!S5="","",S1_Input_Raw!S5))</f>
        <v>78</v>
      </c>
      <c r="AO5" s="13">
        <f>IF(OR(ISBLANK(S1_Input_Raw!C5),ISBLANK(S1_Input_Raw!D5),ISBLANK(S1_Input_Raw!F5)),"",IF(AN5="","",H5-AN5))</f>
        <v>3.408450704225217</v>
      </c>
      <c r="AP5" s="25" t="str">
        <f>IF(OR(ISBLANK(S1_Input_Raw!C5),ISBLANK(S1_Input_Raw!D5),ISBLANK(S1_Input_Raw!F5)),"",IF(AN5="","",IF(ABS(AO5)&gt;=NR_SE_DIFF_REF,"⚠ 차이 큼 — 취침·기상시각 자동감지 방식 차이일 수 있음","일치")))</f>
        <v>일치</v>
      </c>
      <c r="AQ5" s="13">
        <f>IF(OR(ISBLANK(S1_Input_Raw!C5),ISBLANK(S1_Input_Raw!D5),ISBLANK(S1_Input_Raw!F5)),"",IF(AN5="",H5,AN5))</f>
        <v>78</v>
      </c>
    </row>
    <row r="6" spans="1:43" ht="15.75" customHeight="1">
      <c r="A6" s="22" t="str">
        <f>S1_Input_Raw!A6</f>
        <v>화</v>
      </c>
      <c r="B6" s="23">
        <f>S1_Input_Raw!B6</f>
        <v>46274</v>
      </c>
      <c r="C6" s="25">
        <f>IF(OR(ISBLANK(S1_Input_Raw!C6),ISBLANK(S1_Input_Raw!D6),ISBLANK(S1_Input_Raw!F6)),"",IF(S1_Input_Raw!C6&gt;=0.5,(S1_Input_Raw!C6-1)*1440,S1_Input_Raw!C6*1440))</f>
        <v>9.9999999999999929</v>
      </c>
      <c r="D6" s="25">
        <f>IF(OR(ISBLANK(S1_Input_Raw!C6),ISBLANK(S1_Input_Raw!D6),ISBLANK(S1_Input_Raw!F6)),"",S1_Input_Raw!D6*1440)</f>
        <v>389.99999999999949</v>
      </c>
      <c r="E6" s="25">
        <f>IF(OR(ISBLANK(S1_Input_Raw!C6),ISBLANK(S1_Input_Raw!D6),ISBLANK(S1_Input_Raw!F6)),"",D6-C6)</f>
        <v>379.99999999999949</v>
      </c>
      <c r="F6" s="25">
        <f>IF(OR(ISBLANK(S1_Input_Raw!C6),ISBLANK(S1_Input_Raw!D6),ISBLANK(S1_Input_Raw!F6)),"",S1_Input_Raw!F6+S1_Input_Raw!G6+S1_Input_Raw!H6)</f>
        <v>289</v>
      </c>
      <c r="G6" s="25">
        <f>IF(OR(ISBLANK(S1_Input_Raw!C6),ISBLANK(S1_Input_Raw!D6),ISBLANK(S1_Input_Raw!F6)),"",E6-S1_Input_Raw!E6-F6)</f>
        <v>62.999999999999488</v>
      </c>
      <c r="H6" s="13">
        <f>IF(OR(ISBLANK(S1_Input_Raw!C6),ISBLANK(S1_Input_Raw!D6),ISBLANK(S1_Input_Raw!F6)),"",IFERROR(F6/E6*100,""))</f>
        <v>76.052631578947469</v>
      </c>
      <c r="I6" s="13">
        <f>IF(OR(ISBLANK(S1_Input_Raw!C6),ISBLANK(S1_Input_Raw!D6),ISBLANK(S1_Input_Raw!F6)),"",IFERROR(S1_Input_Raw!F6/F6*100,""))</f>
        <v>13.84083044982699</v>
      </c>
      <c r="J6" s="13">
        <f>IF(OR(ISBLANK(S1_Input_Raw!C6),ISBLANK(S1_Input_Raw!D6),ISBLANK(S1_Input_Raw!F6)),"",IFERROR(S1_Input_Raw!G6/F6*100,""))</f>
        <v>60.207612456747405</v>
      </c>
      <c r="K6" s="13">
        <f>IF(OR(ISBLANK(S1_Input_Raw!C6),ISBLANK(S1_Input_Raw!D6),ISBLANK(S1_Input_Raw!F6)),"",IFERROR(S1_Input_Raw!H6/F6*100,""))</f>
        <v>25.951557093425603</v>
      </c>
      <c r="L6" s="24">
        <f>IF(OR(ISBLANK(S1_Input_Raw!C6),ISBLANK(S1_Input_Raw!D6),ISBLANK(S1_Input_Raw!F6)),"",S1_Input_Raw!E6)</f>
        <v>28</v>
      </c>
      <c r="M6" s="25">
        <f>IF(OR(ISBLANK(S1_Input_Raw!C6),ISBLANK(S1_Input_Raw!D6),ISBLANK(S1_Input_Raw!F6)),"",S1_Input_Raw!I6)</f>
        <v>3</v>
      </c>
      <c r="N6" s="25">
        <f>IF(OR(ISBLANK(S1_Input_Raw!C6),ISBLANK(S1_Input_Raw!D6),ISBLANK(S1_Input_Raw!F6)),"",S1_Input_Raw!J6)</f>
        <v>61</v>
      </c>
      <c r="O6" s="25">
        <f>IF(OR(ISBLANK(S1_Input_Raw!C6),ISBLANK(S1_Input_Raw!D6),ISBLANK(S1_Input_Raw!F6)),"",S1_Input_Raw!K6)</f>
        <v>16</v>
      </c>
      <c r="P6" s="25">
        <f>IF(OR(ISBLANK(S1_Input_Raw!C6),ISBLANK(S1_Input_Raw!D6),ISBLANK(S1_Input_Raw!F6)),"",S1_Input_Raw!L6)</f>
        <v>96</v>
      </c>
      <c r="Q6" s="25">
        <f>IF(OR(ISBLANK(S1_Input_Raw!C6),ISBLANK(S1_Input_Raw!D6),ISBLANK(S1_Input_Raw!F6)),"",S1_Input_Raw!M6)</f>
        <v>95</v>
      </c>
      <c r="R6" s="25">
        <f>IF(OR(ISBLANK(S1_Input_Raw!C6),ISBLANK(S1_Input_Raw!D6),ISBLANK(S1_Input_Raw!F6)),"",S1_Input_Raw!N6)</f>
        <v>31</v>
      </c>
      <c r="S6" s="25">
        <f>IF(OR(ISBLANK(S1_Input_Raw!C6),ISBLANK(S1_Input_Raw!D6),ISBLANK(S1_Input_Raw!F6)),"",S1_Input_Raw!O6)</f>
        <v>4712</v>
      </c>
      <c r="T6" s="25">
        <f>IF(OR(ISBLANK(S1_Input_Raw!C6),ISBLANK(S1_Input_Raw!D6),ISBLANK(S1_Input_Raw!F6)),"",S1_Input_Raw!P6)</f>
        <v>1580</v>
      </c>
      <c r="U6" s="25">
        <f>IF(OR(ISBLANK(S1_Input_Raw!C6),ISBLANK(S1_Input_Raw!D6),ISBLANK(S1_Input_Raw!F6)),"",S1_Input_Raw!Q6)</f>
        <v>64</v>
      </c>
      <c r="V6" s="15">
        <f>IF(OR(ISBLANK(S1_Input_Raw!C6),ISBLANK(S1_Input_Raw!D6),ISBLANK(S1_Input_Raw!F6)),"",NR_BMR)</f>
        <v>1206.5</v>
      </c>
      <c r="W6" s="15">
        <f>IF(OR(ISBLANK(S1_Input_Raw!C6),ISBLANK(S1_Input_Raw!D6),ISBLANK(S1_Input_Raw!F6)),"",IFERROR(NR_MET*3.5*NR_WEIGHT/200*R6,""))</f>
        <v>125.85999999999999</v>
      </c>
      <c r="X6" s="15">
        <f>IF(OR(ISBLANK(S1_Input_Raw!C6),ISBLANK(S1_Input_Raw!D6),ISBLANK(S1_Input_Raw!F6)),"",IFERROR(V6+W6,""))</f>
        <v>1332.36</v>
      </c>
      <c r="Y6" s="15">
        <f>IF(OR(ISBLANK(S1_Input_Raw!C6),ISBLANK(S1_Input_Raw!D6),ISBLANK(S1_Input_Raw!F6)),"",IFERROR(T6-X6,""))</f>
        <v>247.6400000000001</v>
      </c>
      <c r="Z6" s="25" t="str">
        <f>IF(OR(ISBLANK(S1_Input_Raw!C6),ISBLANK(S1_Input_Raw!D6),ISBLANK(S1_Input_Raw!F6)),"",IF(AND(L6&gt;NR_SOL_REF,M6&gt;NR_AWAKE_REF,AQ6&lt;NR_SE_REF),"복합형(잠들기어려움+자주깨어남)",IF(AND(L6&lt;=NR_SOL_REF,M6&gt;NR_AWAKE_REF),"자주깨어남형",IF(AND(L6&gt;NR_SOL_REF,M6&lt;=NR_AWAKE_REF),"잠들기어려움형","양호"))))</f>
        <v>복합형(잠들기어려움+자주깨어남)</v>
      </c>
      <c r="AA6" s="25" t="str">
        <f>IF(OR(ISBLANK(S1_Input_Raw!C6),ISBLANK(S1_Input_Raw!D6),ISBLANK(S1_Input_Raw!F6)),"",IFERROR(IF(R6&lt;=PERCENTILE($R$5:$R$11,1/3),"저활동",IF(R6&lt;=PERCENTILE($R$5:$R$11,2/3),"중활동","고활동")),""))</f>
        <v>저활동</v>
      </c>
      <c r="AB6" s="25">
        <f>IF(OR(ISBLANK(S1_Input_Raw!C6),ISBLANK(S1_Input_Raw!D6),ISBLANK(S1_Input_Raw!F6)),"",N6-AVERAGE($N$5:$N$11))</f>
        <v>1.2857142857142847</v>
      </c>
      <c r="AC6" s="25">
        <f>IF(OR(ISBLANK(S1_Input_Raw!C6),ISBLANK(S1_Input_Raw!D6),ISBLANK(S1_Input_Raw!F6)),"",O6-AVERAGE($O$5:$O$11))</f>
        <v>0.28571428571428648</v>
      </c>
      <c r="AD6" s="25">
        <f>IF(OR(ISBLANK(S1_Input_Raw!C6),ISBLANK(S1_Input_Raw!D6),ISBLANK(S1_Input_Raw!F6)),"",AVERAGE($P$5:$P$11)-P6)</f>
        <v>0.2857142857142918</v>
      </c>
      <c r="AE6" s="25" t="b">
        <f>IF(OR(ISBLANK(S1_Input_Raw!C6),ISBLANK(S1_Input_Raw!D6),ISBLANK(S1_Input_Raw!F6)),FALSE(),AND(AB6&gt;=NR_DEV_HR,AC6&gt;=NR_DEV_RR,AD6&gt;=NR_DEV_SPO2))</f>
        <v>0</v>
      </c>
      <c r="AF6" s="25" t="b">
        <f>IF(OR(ISBLANK(S1_Input_Raw!C6),ISBLANK(S1_Input_Raw!D6),ISBLANK(S1_Input_Raw!F6)),FALSE(),R6=MIN($R$5:$R$11))</f>
        <v>0</v>
      </c>
      <c r="AG6" s="25" t="b">
        <f>IF(OR(ISBLANK(S1_Input_Raw!C6),ISBLANK(S1_Input_Raw!D6),ISBLANK(S1_Input_Raw!F6)),FALSE(),U6=MIN($U$5:$U$11))</f>
        <v>0</v>
      </c>
      <c r="AH6" s="25" t="b">
        <f>IF(OR(ISBLANK(S1_Input_Raw!C6),ISBLANK(S1_Input_Raw!D6),ISBLANK(S1_Input_Raw!F6)),FALSE(),AND(AE6,OR(AF6,AG6)))</f>
        <v>0</v>
      </c>
      <c r="AI6" s="25">
        <f>IF(OR(ISBLANK(S1_Input_Raw!C6),ISBLANK(S1_Input_Raw!D6),ISBLANK(S1_Input_Raw!F6)),"",IF(S1_Input_Raw!R6="",G6,S1_Input_Raw!R6))</f>
        <v>66</v>
      </c>
      <c r="AJ6" s="13">
        <f>IF(OR(ISBLANK(S1_Input_Raw!C6),ISBLANK(S1_Input_Raw!D6),ISBLANK(S1_Input_Raw!F6)),"",IFERROR(AI6/M6,""))</f>
        <v>22</v>
      </c>
      <c r="AK6" s="25">
        <f>IF(OR(ISBLANK(S1_Input_Raw!C6),ISBLANK(S1_Input_Raw!D6),ISBLANK(S1_Input_Raw!F6)),"",IF(S1_Input_Raw!R6="",0,AI6-G6))</f>
        <v>3.0000000000005116</v>
      </c>
      <c r="AL6" s="25" t="str">
        <f>IF(OR(ISBLANK(S1_Input_Raw!C6),ISBLANK(S1_Input_Raw!D6),ISBLANK(S1_Input_Raw!F6)),"미모니터링","모니터링됨")</f>
        <v>모니터링됨</v>
      </c>
      <c r="AM6" s="25" t="str">
        <f>IF(OR(ISBLANK(S1_Input_Raw!C6),ISBLANK(S1_Input_Raw!D6),ISBLANK(S1_Input_Raw!F6)),"",IF(G6&lt;0,"⚠ TIB가 SOL+TST보다 작음 — 취침·기상시각 확인 필요","정상"))</f>
        <v>정상</v>
      </c>
      <c r="AN6" s="13">
        <f>IF(OR(ISBLANK(S1_Input_Raw!C6),ISBLANK(S1_Input_Raw!D6),ISBLANK(S1_Input_Raw!F6)),"",IF(S1_Input_Raw!S6="","",S1_Input_Raw!S6))</f>
        <v>74</v>
      </c>
      <c r="AO6" s="13">
        <f>IF(OR(ISBLANK(S1_Input_Raw!C6),ISBLANK(S1_Input_Raw!D6),ISBLANK(S1_Input_Raw!F6)),"",IF(AN6="","",H6-AN6))</f>
        <v>2.0526315789474694</v>
      </c>
      <c r="AP6" s="25" t="str">
        <f>IF(OR(ISBLANK(S1_Input_Raw!C6),ISBLANK(S1_Input_Raw!D6),ISBLANK(S1_Input_Raw!F6)),"",IF(AN6="","",IF(ABS(AO6)&gt;=NR_SE_DIFF_REF,"⚠ 차이 큼 — 취침·기상시각 자동감지 방식 차이일 수 있음","일치")))</f>
        <v>일치</v>
      </c>
      <c r="AQ6" s="13">
        <f>IF(OR(ISBLANK(S1_Input_Raw!C6),ISBLANK(S1_Input_Raw!D6),ISBLANK(S1_Input_Raw!F6)),"",IF(AN6="",H6,AN6))</f>
        <v>74</v>
      </c>
    </row>
    <row r="7" spans="1:43" ht="15.75" customHeight="1">
      <c r="A7" s="22" t="str">
        <f>S1_Input_Raw!A7</f>
        <v>수</v>
      </c>
      <c r="B7" s="23">
        <f>S1_Input_Raw!B7</f>
        <v>46275</v>
      </c>
      <c r="C7" s="25">
        <f>IF(OR(ISBLANK(S1_Input_Raw!C7),ISBLANK(S1_Input_Raw!D7),ISBLANK(S1_Input_Raw!F7)),"",IF(S1_Input_Raw!C7&gt;=0.5,(S1_Input_Raw!C7-1)*1440,S1_Input_Raw!C7*1440))</f>
        <v>20.000000000000018</v>
      </c>
      <c r="D7" s="25">
        <f>IF(OR(ISBLANK(S1_Input_Raw!C7),ISBLANK(S1_Input_Raw!D7),ISBLANK(S1_Input_Raw!F7)),"",S1_Input_Raw!D7*1440)</f>
        <v>375.00000000000051</v>
      </c>
      <c r="E7" s="25">
        <f>IF(OR(ISBLANK(S1_Input_Raw!C7),ISBLANK(S1_Input_Raw!D7),ISBLANK(S1_Input_Raw!F7)),"",D7-C7)</f>
        <v>355.00000000000051</v>
      </c>
      <c r="F7" s="25">
        <f>IF(OR(ISBLANK(S1_Input_Raw!C7),ISBLANK(S1_Input_Raw!D7),ISBLANK(S1_Input_Raw!F7)),"",S1_Input_Raw!F7+S1_Input_Raw!G7+S1_Input_Raw!H7)</f>
        <v>295</v>
      </c>
      <c r="G7" s="25">
        <f>IF(OR(ISBLANK(S1_Input_Raw!C7),ISBLANK(S1_Input_Raw!D7),ISBLANK(S1_Input_Raw!F7)),"",E7-S1_Input_Raw!E7-F7)</f>
        <v>43.000000000000512</v>
      </c>
      <c r="H7" s="13">
        <f>IF(OR(ISBLANK(S1_Input_Raw!C7),ISBLANK(S1_Input_Raw!D7),ISBLANK(S1_Input_Raw!F7)),"",IFERROR(F7/E7*100,""))</f>
        <v>83.098591549295648</v>
      </c>
      <c r="I7" s="13">
        <f>IF(OR(ISBLANK(S1_Input_Raw!C7),ISBLANK(S1_Input_Raw!D7),ISBLANK(S1_Input_Raw!F7)),"",IFERROR(S1_Input_Raw!F7/F7*100,""))</f>
        <v>20</v>
      </c>
      <c r="J7" s="13">
        <f>IF(OR(ISBLANK(S1_Input_Raw!C7),ISBLANK(S1_Input_Raw!D7),ISBLANK(S1_Input_Raw!F7)),"",IFERROR(S1_Input_Raw!G7/F7*100,""))</f>
        <v>51.864406779661024</v>
      </c>
      <c r="K7" s="13">
        <f>IF(OR(ISBLANK(S1_Input_Raw!C7),ISBLANK(S1_Input_Raw!D7),ISBLANK(S1_Input_Raw!F7)),"",IFERROR(S1_Input_Raw!H7/F7*100,""))</f>
        <v>28.135593220338983</v>
      </c>
      <c r="L7" s="24">
        <f>IF(OR(ISBLANK(S1_Input_Raw!C7),ISBLANK(S1_Input_Raw!D7),ISBLANK(S1_Input_Raw!F7)),"",S1_Input_Raw!E7)</f>
        <v>17</v>
      </c>
      <c r="M7" s="25">
        <f>IF(OR(ISBLANK(S1_Input_Raw!C7),ISBLANK(S1_Input_Raw!D7),ISBLANK(S1_Input_Raw!F7)),"",S1_Input_Raw!I7)</f>
        <v>2</v>
      </c>
      <c r="N7" s="25">
        <f>IF(OR(ISBLANK(S1_Input_Raw!C7),ISBLANK(S1_Input_Raw!D7),ISBLANK(S1_Input_Raw!F7)),"",S1_Input_Raw!J7)</f>
        <v>57</v>
      </c>
      <c r="O7" s="25">
        <f>IF(OR(ISBLANK(S1_Input_Raw!C7),ISBLANK(S1_Input_Raw!D7),ISBLANK(S1_Input_Raw!F7)),"",S1_Input_Raw!K7)</f>
        <v>15</v>
      </c>
      <c r="P7" s="25">
        <f>IF(OR(ISBLANK(S1_Input_Raw!C7),ISBLANK(S1_Input_Raw!D7),ISBLANK(S1_Input_Raw!F7)),"",S1_Input_Raw!L7)</f>
        <v>97</v>
      </c>
      <c r="Q7" s="25">
        <f>IF(OR(ISBLANK(S1_Input_Raw!C7),ISBLANK(S1_Input_Raw!D7),ISBLANK(S1_Input_Raw!F7)),"",S1_Input_Raw!M7)</f>
        <v>96</v>
      </c>
      <c r="R7" s="25">
        <f>IF(OR(ISBLANK(S1_Input_Raw!C7),ISBLANK(S1_Input_Raw!D7),ISBLANK(S1_Input_Raw!F7)),"",S1_Input_Raw!N7)</f>
        <v>55</v>
      </c>
      <c r="S7" s="25">
        <f>IF(OR(ISBLANK(S1_Input_Raw!C7),ISBLANK(S1_Input_Raw!D7),ISBLANK(S1_Input_Raw!F7)),"",S1_Input_Raw!O7)</f>
        <v>8360</v>
      </c>
      <c r="T7" s="25">
        <f>IF(OR(ISBLANK(S1_Input_Raw!C7),ISBLANK(S1_Input_Raw!D7),ISBLANK(S1_Input_Raw!F7)),"",S1_Input_Raw!P7)</f>
        <v>1720</v>
      </c>
      <c r="U7" s="25">
        <f>IF(OR(ISBLANK(S1_Input_Raw!C7),ISBLANK(S1_Input_Raw!D7),ISBLANK(S1_Input_Raw!F7)),"",S1_Input_Raw!Q7)</f>
        <v>72</v>
      </c>
      <c r="V7" s="15">
        <f>IF(OR(ISBLANK(S1_Input_Raw!C7),ISBLANK(S1_Input_Raw!D7),ISBLANK(S1_Input_Raw!F7)),"",NR_BMR)</f>
        <v>1206.5</v>
      </c>
      <c r="W7" s="15">
        <f>IF(OR(ISBLANK(S1_Input_Raw!C7),ISBLANK(S1_Input_Raw!D7),ISBLANK(S1_Input_Raw!F7)),"",IFERROR(NR_MET*3.5*NR_WEIGHT/200*R7,""))</f>
        <v>223.29999999999998</v>
      </c>
      <c r="X7" s="15">
        <f>IF(OR(ISBLANK(S1_Input_Raw!C7),ISBLANK(S1_Input_Raw!D7),ISBLANK(S1_Input_Raw!F7)),"",IFERROR(V7+W7,""))</f>
        <v>1429.8</v>
      </c>
      <c r="Y7" s="15">
        <f>IF(OR(ISBLANK(S1_Input_Raw!C7),ISBLANK(S1_Input_Raw!D7),ISBLANK(S1_Input_Raw!F7)),"",IFERROR(T7-X7,""))</f>
        <v>290.20000000000005</v>
      </c>
      <c r="Z7" s="25" t="str">
        <f>IF(OR(ISBLANK(S1_Input_Raw!C7),ISBLANK(S1_Input_Raw!D7),ISBLANK(S1_Input_Raw!F7)),"",IF(AND(L7&gt;NR_SOL_REF,M7&gt;NR_AWAKE_REF,AQ7&lt;NR_SE_REF),"복합형(잠들기어려움+자주깨어남)",IF(AND(L7&lt;=NR_SOL_REF,M7&gt;NR_AWAKE_REF),"자주깨어남형",IF(AND(L7&gt;NR_SOL_REF,M7&lt;=NR_AWAKE_REF),"잠들기어려움형","양호"))))</f>
        <v>양호</v>
      </c>
      <c r="AA7" s="25" t="str">
        <f>IF(OR(ISBLANK(S1_Input_Raw!C7),ISBLANK(S1_Input_Raw!D7),ISBLANK(S1_Input_Raw!F7)),"",IFERROR(IF(R7&lt;=PERCENTILE($R$5:$R$11,1/3),"저활동",IF(R7&lt;=PERCENTILE($R$5:$R$11,2/3),"중활동","고활동")),""))</f>
        <v>고활동</v>
      </c>
      <c r="AB7" s="25">
        <f>IF(OR(ISBLANK(S1_Input_Raw!C7),ISBLANK(S1_Input_Raw!D7),ISBLANK(S1_Input_Raw!F7)),"",N7-AVERAGE($N$5:$N$11))</f>
        <v>-2.7142857142857153</v>
      </c>
      <c r="AC7" s="25">
        <f>IF(OR(ISBLANK(S1_Input_Raw!C7),ISBLANK(S1_Input_Raw!D7),ISBLANK(S1_Input_Raw!F7)),"",O7-AVERAGE($O$5:$O$11))</f>
        <v>-0.71428571428571352</v>
      </c>
      <c r="AD7" s="25">
        <f>IF(OR(ISBLANK(S1_Input_Raw!C7),ISBLANK(S1_Input_Raw!D7),ISBLANK(S1_Input_Raw!F7)),"",AVERAGE($P$5:$P$11)-P7)</f>
        <v>-0.7142857142857082</v>
      </c>
      <c r="AE7" s="25" t="b">
        <f>IF(OR(ISBLANK(S1_Input_Raw!C7),ISBLANK(S1_Input_Raw!D7),ISBLANK(S1_Input_Raw!F7)),FALSE(),AND(AB7&gt;=NR_DEV_HR,AC7&gt;=NR_DEV_RR,AD7&gt;=NR_DEV_SPO2))</f>
        <v>0</v>
      </c>
      <c r="AF7" s="25" t="b">
        <f>IF(OR(ISBLANK(S1_Input_Raw!C7),ISBLANK(S1_Input_Raw!D7),ISBLANK(S1_Input_Raw!F7)),FALSE(),R7=MIN($R$5:$R$11))</f>
        <v>0</v>
      </c>
      <c r="AG7" s="25" t="b">
        <f>IF(OR(ISBLANK(S1_Input_Raw!C7),ISBLANK(S1_Input_Raw!D7),ISBLANK(S1_Input_Raw!F7)),FALSE(),U7=MIN($U$5:$U$11))</f>
        <v>0</v>
      </c>
      <c r="AH7" s="25" t="b">
        <f>IF(OR(ISBLANK(S1_Input_Raw!C7),ISBLANK(S1_Input_Raw!D7),ISBLANK(S1_Input_Raw!F7)),FALSE(),AND(AE7,OR(AF7,AG7)))</f>
        <v>0</v>
      </c>
      <c r="AI7" s="25">
        <f>IF(OR(ISBLANK(S1_Input_Raw!C7),ISBLANK(S1_Input_Raw!D7),ISBLANK(S1_Input_Raw!F7)),"",IF(S1_Input_Raw!R7="",G7,S1_Input_Raw!R7))</f>
        <v>40</v>
      </c>
      <c r="AJ7" s="13">
        <f>IF(OR(ISBLANK(S1_Input_Raw!C7),ISBLANK(S1_Input_Raw!D7),ISBLANK(S1_Input_Raw!F7)),"",IFERROR(AI7/M7,""))</f>
        <v>20</v>
      </c>
      <c r="AK7" s="25">
        <f>IF(OR(ISBLANK(S1_Input_Raw!C7),ISBLANK(S1_Input_Raw!D7),ISBLANK(S1_Input_Raw!F7)),"",IF(S1_Input_Raw!R7="",0,AI7-G7))</f>
        <v>-3.0000000000005116</v>
      </c>
      <c r="AL7" s="25" t="str">
        <f>IF(OR(ISBLANK(S1_Input_Raw!C7),ISBLANK(S1_Input_Raw!D7),ISBLANK(S1_Input_Raw!F7)),"미모니터링","모니터링됨")</f>
        <v>모니터링됨</v>
      </c>
      <c r="AM7" s="25" t="str">
        <f>IF(OR(ISBLANK(S1_Input_Raw!C7),ISBLANK(S1_Input_Raw!D7),ISBLANK(S1_Input_Raw!F7)),"",IF(G7&lt;0,"⚠ TIB가 SOL+TST보다 작음 — 취침·기상시각 확인 필요","정상"))</f>
        <v>정상</v>
      </c>
      <c r="AN7" s="13">
        <f>IF(OR(ISBLANK(S1_Input_Raw!C7),ISBLANK(S1_Input_Raw!D7),ISBLANK(S1_Input_Raw!F7)),"",IF(S1_Input_Raw!S7="","",S1_Input_Raw!S7))</f>
        <v>84</v>
      </c>
      <c r="AO7" s="13">
        <f>IF(OR(ISBLANK(S1_Input_Raw!C7),ISBLANK(S1_Input_Raw!D7),ISBLANK(S1_Input_Raw!F7)),"",IF(AN7="","",H7-AN7))</f>
        <v>-0.90140845070435205</v>
      </c>
      <c r="AP7" s="25" t="str">
        <f>IF(OR(ISBLANK(S1_Input_Raw!C7),ISBLANK(S1_Input_Raw!D7),ISBLANK(S1_Input_Raw!F7)),"",IF(AN7="","",IF(ABS(AO7)&gt;=NR_SE_DIFF_REF,"⚠ 차이 큼 — 취침·기상시각 자동감지 방식 차이일 수 있음","일치")))</f>
        <v>일치</v>
      </c>
      <c r="AQ7" s="13">
        <f>IF(OR(ISBLANK(S1_Input_Raw!C7),ISBLANK(S1_Input_Raw!D7),ISBLANK(S1_Input_Raw!F7)),"",IF(AN7="",H7,AN7))</f>
        <v>84</v>
      </c>
    </row>
    <row r="8" spans="1:43" ht="15.75" customHeight="1">
      <c r="A8" s="22" t="str">
        <f>S1_Input_Raw!A8</f>
        <v>목</v>
      </c>
      <c r="B8" s="23">
        <f>S1_Input_Raw!B8</f>
        <v>46276</v>
      </c>
      <c r="C8" s="25">
        <f>IF(OR(ISBLANK(S1_Input_Raw!C8),ISBLANK(S1_Input_Raw!D8),ISBLANK(S1_Input_Raw!F8)),"",IF(S1_Input_Raw!C8&gt;=0.5,(S1_Input_Raw!C8-1)*1440,S1_Input_Raw!C8*1440))</f>
        <v>35.000000000000064</v>
      </c>
      <c r="D8" s="25">
        <f>IF(OR(ISBLANK(S1_Input_Raw!C8),ISBLANK(S1_Input_Raw!D8),ISBLANK(S1_Input_Raw!F8)),"",S1_Input_Raw!D8*1440)</f>
        <v>405</v>
      </c>
      <c r="E8" s="25">
        <f>IF(OR(ISBLANK(S1_Input_Raw!C8),ISBLANK(S1_Input_Raw!D8),ISBLANK(S1_Input_Raw!F8)),"",D8-C8)</f>
        <v>369.99999999999994</v>
      </c>
      <c r="F8" s="25">
        <f>IF(OR(ISBLANK(S1_Input_Raw!C8),ISBLANK(S1_Input_Raw!D8),ISBLANK(S1_Input_Raw!F8)),"",S1_Input_Raw!F8+S1_Input_Raw!G8+S1_Input_Raw!H8)</f>
        <v>274</v>
      </c>
      <c r="G8" s="25">
        <f>IF(OR(ISBLANK(S1_Input_Raw!C8),ISBLANK(S1_Input_Raw!D8),ISBLANK(S1_Input_Raw!F8)),"",E8-S1_Input_Raw!E8-F8)</f>
        <v>63.999999999999943</v>
      </c>
      <c r="H8" s="13">
        <f>IF(OR(ISBLANK(S1_Input_Raw!C8),ISBLANK(S1_Input_Raw!D8),ISBLANK(S1_Input_Raw!F8)),"",IFERROR(F8/E8*100,""))</f>
        <v>74.054054054054063</v>
      </c>
      <c r="I8" s="13">
        <f>IF(OR(ISBLANK(S1_Input_Raw!C8),ISBLANK(S1_Input_Raw!D8),ISBLANK(S1_Input_Raw!F8)),"",IFERROR(S1_Input_Raw!F8/F8*100,""))</f>
        <v>13.138686131386862</v>
      </c>
      <c r="J8" s="13">
        <f>IF(OR(ISBLANK(S1_Input_Raw!C8),ISBLANK(S1_Input_Raw!D8),ISBLANK(S1_Input_Raw!F8)),"",IFERROR(S1_Input_Raw!G8/F8*100,""))</f>
        <v>60.948905109489047</v>
      </c>
      <c r="K8" s="13">
        <f>IF(OR(ISBLANK(S1_Input_Raw!C8),ISBLANK(S1_Input_Raw!D8),ISBLANK(S1_Input_Raw!F8)),"",IFERROR(S1_Input_Raw!H8/F8*100,""))</f>
        <v>25.912408759124091</v>
      </c>
      <c r="L8" s="24">
        <f>IF(OR(ISBLANK(S1_Input_Raw!C8),ISBLANK(S1_Input_Raw!D8),ISBLANK(S1_Input_Raw!F8)),"",S1_Input_Raw!E8)</f>
        <v>32</v>
      </c>
      <c r="M8" s="25">
        <f>IF(OR(ISBLANK(S1_Input_Raw!C8),ISBLANK(S1_Input_Raw!D8),ISBLANK(S1_Input_Raw!F8)),"",S1_Input_Raw!I8)</f>
        <v>3</v>
      </c>
      <c r="N8" s="25">
        <f>IF(OR(ISBLANK(S1_Input_Raw!C8),ISBLANK(S1_Input_Raw!D8),ISBLANK(S1_Input_Raw!F8)),"",S1_Input_Raw!J8)</f>
        <v>60</v>
      </c>
      <c r="O8" s="25">
        <f>IF(OR(ISBLANK(S1_Input_Raw!C8),ISBLANK(S1_Input_Raw!D8),ISBLANK(S1_Input_Raw!F8)),"",S1_Input_Raw!K8)</f>
        <v>16</v>
      </c>
      <c r="P8" s="25">
        <f>IF(OR(ISBLANK(S1_Input_Raw!C8),ISBLANK(S1_Input_Raw!D8),ISBLANK(S1_Input_Raw!F8)),"",S1_Input_Raw!L8)</f>
        <v>96</v>
      </c>
      <c r="Q8" s="25">
        <f>IF(OR(ISBLANK(S1_Input_Raw!C8),ISBLANK(S1_Input_Raw!D8),ISBLANK(S1_Input_Raw!F8)),"",S1_Input_Raw!M8)</f>
        <v>95</v>
      </c>
      <c r="R8" s="25">
        <f>IF(OR(ISBLANK(S1_Input_Raw!C8),ISBLANK(S1_Input_Raw!D8),ISBLANK(S1_Input_Raw!F8)),"",S1_Input_Raw!N8)</f>
        <v>24</v>
      </c>
      <c r="S8" s="25">
        <f>IF(OR(ISBLANK(S1_Input_Raw!C8),ISBLANK(S1_Input_Raw!D8),ISBLANK(S1_Input_Raw!F8)),"",S1_Input_Raw!O8)</f>
        <v>3648</v>
      </c>
      <c r="T8" s="25">
        <f>IF(OR(ISBLANK(S1_Input_Raw!C8),ISBLANK(S1_Input_Raw!D8),ISBLANK(S1_Input_Raw!F8)),"",S1_Input_Raw!P8)</f>
        <v>1540</v>
      </c>
      <c r="U8" s="25">
        <f>IF(OR(ISBLANK(S1_Input_Raw!C8),ISBLANK(S1_Input_Raw!D8),ISBLANK(S1_Input_Raw!F8)),"",S1_Input_Raw!Q8)</f>
        <v>60</v>
      </c>
      <c r="V8" s="15">
        <f>IF(OR(ISBLANK(S1_Input_Raw!C8),ISBLANK(S1_Input_Raw!D8),ISBLANK(S1_Input_Raw!F8)),"",NR_BMR)</f>
        <v>1206.5</v>
      </c>
      <c r="W8" s="15">
        <f>IF(OR(ISBLANK(S1_Input_Raw!C8),ISBLANK(S1_Input_Raw!D8),ISBLANK(S1_Input_Raw!F8)),"",IFERROR(NR_MET*3.5*NR_WEIGHT/200*R8,""))</f>
        <v>97.44</v>
      </c>
      <c r="X8" s="15">
        <f>IF(OR(ISBLANK(S1_Input_Raw!C8),ISBLANK(S1_Input_Raw!D8),ISBLANK(S1_Input_Raw!F8)),"",IFERROR(V8+W8,""))</f>
        <v>1303.94</v>
      </c>
      <c r="Y8" s="15">
        <f>IF(OR(ISBLANK(S1_Input_Raw!C8),ISBLANK(S1_Input_Raw!D8),ISBLANK(S1_Input_Raw!F8)),"",IFERROR(T8-X8,""))</f>
        <v>236.05999999999995</v>
      </c>
      <c r="Z8" s="25" t="str">
        <f>IF(OR(ISBLANK(S1_Input_Raw!C8),ISBLANK(S1_Input_Raw!D8),ISBLANK(S1_Input_Raw!F8)),"",IF(AND(L8&gt;NR_SOL_REF,M8&gt;NR_AWAKE_REF,AQ8&lt;NR_SE_REF),"복합형(잠들기어려움+자주깨어남)",IF(AND(L8&lt;=NR_SOL_REF,M8&gt;NR_AWAKE_REF),"자주깨어남형",IF(AND(L8&gt;NR_SOL_REF,M8&lt;=NR_AWAKE_REF),"잠들기어려움형","양호"))))</f>
        <v>복합형(잠들기어려움+자주깨어남)</v>
      </c>
      <c r="AA8" s="25" t="str">
        <f>IF(OR(ISBLANK(S1_Input_Raw!C8),ISBLANK(S1_Input_Raw!D8),ISBLANK(S1_Input_Raw!F8)),"",IFERROR(IF(R8&lt;=PERCENTILE($R$5:$R$11,1/3),"저활동",IF(R8&lt;=PERCENTILE($R$5:$R$11,2/3),"중활동","고활동")),""))</f>
        <v>저활동</v>
      </c>
      <c r="AB8" s="25">
        <f>IF(OR(ISBLANK(S1_Input_Raw!C8),ISBLANK(S1_Input_Raw!D8),ISBLANK(S1_Input_Raw!F8)),"",N8-AVERAGE($N$5:$N$11))</f>
        <v>0.2857142857142847</v>
      </c>
      <c r="AC8" s="25">
        <f>IF(OR(ISBLANK(S1_Input_Raw!C8),ISBLANK(S1_Input_Raw!D8),ISBLANK(S1_Input_Raw!F8)),"",O8-AVERAGE($O$5:$O$11))</f>
        <v>0.28571428571428648</v>
      </c>
      <c r="AD8" s="25">
        <f>IF(OR(ISBLANK(S1_Input_Raw!C8),ISBLANK(S1_Input_Raw!D8),ISBLANK(S1_Input_Raw!F8)),"",AVERAGE($P$5:$P$11)-P8)</f>
        <v>0.2857142857142918</v>
      </c>
      <c r="AE8" s="25" t="b">
        <f>IF(OR(ISBLANK(S1_Input_Raw!C8),ISBLANK(S1_Input_Raw!D8),ISBLANK(S1_Input_Raw!F8)),FALSE(),AND(AB8&gt;=NR_DEV_HR,AC8&gt;=NR_DEV_RR,AD8&gt;=NR_DEV_SPO2))</f>
        <v>0</v>
      </c>
      <c r="AF8" s="25" t="b">
        <f>IF(OR(ISBLANK(S1_Input_Raw!C8),ISBLANK(S1_Input_Raw!D8),ISBLANK(S1_Input_Raw!F8)),FALSE(),R8=MIN($R$5:$R$11))</f>
        <v>0</v>
      </c>
      <c r="AG8" s="25" t="b">
        <f>IF(OR(ISBLANK(S1_Input_Raw!C8),ISBLANK(S1_Input_Raw!D8),ISBLANK(S1_Input_Raw!F8)),FALSE(),U8=MIN($U$5:$U$11))</f>
        <v>0</v>
      </c>
      <c r="AH8" s="25" t="b">
        <f>IF(OR(ISBLANK(S1_Input_Raw!C8),ISBLANK(S1_Input_Raw!D8),ISBLANK(S1_Input_Raw!F8)),FALSE(),AND(AE8,OR(AF8,AG8)))</f>
        <v>0</v>
      </c>
      <c r="AI8" s="25">
        <f>IF(OR(ISBLANK(S1_Input_Raw!C8),ISBLANK(S1_Input_Raw!D8),ISBLANK(S1_Input_Raw!F8)),"",IF(S1_Input_Raw!R8="",G8,S1_Input_Raw!R8))</f>
        <v>69</v>
      </c>
      <c r="AJ8" s="13">
        <f>IF(OR(ISBLANK(S1_Input_Raw!C8),ISBLANK(S1_Input_Raw!D8),ISBLANK(S1_Input_Raw!F8)),"",IFERROR(AI8/M8,""))</f>
        <v>23</v>
      </c>
      <c r="AK8" s="25">
        <f>IF(OR(ISBLANK(S1_Input_Raw!C8),ISBLANK(S1_Input_Raw!D8),ISBLANK(S1_Input_Raw!F8)),"",IF(S1_Input_Raw!R8="",0,AI8-G8))</f>
        <v>5.0000000000000568</v>
      </c>
      <c r="AL8" s="25" t="str">
        <f>IF(OR(ISBLANK(S1_Input_Raw!C8),ISBLANK(S1_Input_Raw!D8),ISBLANK(S1_Input_Raw!F8)),"미모니터링","모니터링됨")</f>
        <v>모니터링됨</v>
      </c>
      <c r="AM8" s="25" t="str">
        <f>IF(OR(ISBLANK(S1_Input_Raw!C8),ISBLANK(S1_Input_Raw!D8),ISBLANK(S1_Input_Raw!F8)),"",IF(G8&lt;0,"⚠ TIB가 SOL+TST보다 작음 — 취침·기상시각 확인 필요","정상"))</f>
        <v>정상</v>
      </c>
      <c r="AN8" s="13">
        <f>IF(OR(ISBLANK(S1_Input_Raw!C8),ISBLANK(S1_Input_Raw!D8),ISBLANK(S1_Input_Raw!F8)),"",IF(S1_Input_Raw!S8="","",S1_Input_Raw!S8))</f>
        <v>65</v>
      </c>
      <c r="AO8" s="13">
        <f>IF(OR(ISBLANK(S1_Input_Raw!C8),ISBLANK(S1_Input_Raw!D8),ISBLANK(S1_Input_Raw!F8)),"",IF(AN8="","",H8-AN8))</f>
        <v>9.0540540540540633</v>
      </c>
      <c r="AP8" s="25" t="str">
        <f>IF(OR(ISBLANK(S1_Input_Raw!C8),ISBLANK(S1_Input_Raw!D8),ISBLANK(S1_Input_Raw!F8)),"",IF(AN8="","",IF(ABS(AO8)&gt;=NR_SE_DIFF_REF,"⚠ 차이 큼 — 취침·기상시각 자동감지 방식 차이일 수 있음","일치")))</f>
        <v>⚠ 차이 큼 — 취침·기상시각 자동감지 방식 차이일 수 있음</v>
      </c>
      <c r="AQ8" s="13">
        <f>IF(OR(ISBLANK(S1_Input_Raw!C8),ISBLANK(S1_Input_Raw!D8),ISBLANK(S1_Input_Raw!F8)),"",IF(AN8="",H8,AN8))</f>
        <v>65</v>
      </c>
    </row>
    <row r="9" spans="1:43" ht="15.75" customHeight="1">
      <c r="A9" s="22" t="str">
        <f>S1_Input_Raw!A9</f>
        <v>금</v>
      </c>
      <c r="B9" s="23">
        <f>S1_Input_Raw!B9</f>
        <v>46277</v>
      </c>
      <c r="C9" s="25">
        <f>IF(OR(ISBLANK(S1_Input_Raw!C9),ISBLANK(S1_Input_Raw!D9),ISBLANK(S1_Input_Raw!F9)),"",IF(S1_Input_Raw!C9&gt;=0.5,(S1_Input_Raw!C9-1)*1440,S1_Input_Raw!C9*1440))</f>
        <v>65.000000000000014</v>
      </c>
      <c r="D9" s="25">
        <f>IF(OR(ISBLANK(S1_Input_Raw!C9),ISBLANK(S1_Input_Raw!D9),ISBLANK(S1_Input_Raw!F9)),"",S1_Input_Raw!D9*1440)</f>
        <v>380.00000000000017</v>
      </c>
      <c r="E9" s="25">
        <f>IF(OR(ISBLANK(S1_Input_Raw!C9),ISBLANK(S1_Input_Raw!D9),ISBLANK(S1_Input_Raw!F9)),"",D9-C9)</f>
        <v>315.00000000000017</v>
      </c>
      <c r="F9" s="25">
        <f>IF(OR(ISBLANK(S1_Input_Raw!C9),ISBLANK(S1_Input_Raw!D9),ISBLANK(S1_Input_Raw!F9)),"",S1_Input_Raw!F9+S1_Input_Raw!G9+S1_Input_Raw!H9)</f>
        <v>214</v>
      </c>
      <c r="G9" s="25">
        <f>IF(OR(ISBLANK(S1_Input_Raw!C9),ISBLANK(S1_Input_Raw!D9),ISBLANK(S1_Input_Raw!F9)),"",E9-S1_Input_Raw!E9-F9)</f>
        <v>67.000000000000171</v>
      </c>
      <c r="H9" s="13">
        <f>IF(OR(ISBLANK(S1_Input_Raw!C9),ISBLANK(S1_Input_Raw!D9),ISBLANK(S1_Input_Raw!F9)),"",IFERROR(F9/E9*100,""))</f>
        <v>67.936507936507894</v>
      </c>
      <c r="I9" s="13">
        <f>IF(OR(ISBLANK(S1_Input_Raw!C9),ISBLANK(S1_Input_Raw!D9),ISBLANK(S1_Input_Raw!F9)),"",IFERROR(S1_Input_Raw!F9/F9*100,""))</f>
        <v>8.8785046728971952</v>
      </c>
      <c r="J9" s="13">
        <f>IF(OR(ISBLANK(S1_Input_Raw!C9),ISBLANK(S1_Input_Raw!D9),ISBLANK(S1_Input_Raw!F9)),"",IFERROR(S1_Input_Raw!G9/F9*100,""))</f>
        <v>65.887850467289724</v>
      </c>
      <c r="K9" s="13">
        <f>IF(OR(ISBLANK(S1_Input_Raw!C9),ISBLANK(S1_Input_Raw!D9),ISBLANK(S1_Input_Raw!F9)),"",IFERROR(S1_Input_Raw!H9/F9*100,""))</f>
        <v>25.233644859813083</v>
      </c>
      <c r="L9" s="24">
        <f>IF(OR(ISBLANK(S1_Input_Raw!C9),ISBLANK(S1_Input_Raw!D9),ISBLANK(S1_Input_Raw!F9)),"",S1_Input_Raw!E9)</f>
        <v>34</v>
      </c>
      <c r="M9" s="25">
        <f>IF(OR(ISBLANK(S1_Input_Raw!C9),ISBLANK(S1_Input_Raw!D9),ISBLANK(S1_Input_Raw!F9)),"",S1_Input_Raw!I9)</f>
        <v>4</v>
      </c>
      <c r="N9" s="25">
        <f>IF(OR(ISBLANK(S1_Input_Raw!C9),ISBLANK(S1_Input_Raw!D9),ISBLANK(S1_Input_Raw!F9)),"",S1_Input_Raw!J9)</f>
        <v>71</v>
      </c>
      <c r="O9" s="25">
        <f>IF(OR(ISBLANK(S1_Input_Raw!C9),ISBLANK(S1_Input_Raw!D9),ISBLANK(S1_Input_Raw!F9)),"",S1_Input_Raw!K9)</f>
        <v>19</v>
      </c>
      <c r="P9" s="25">
        <f>IF(OR(ISBLANK(S1_Input_Raw!C9),ISBLANK(S1_Input_Raw!D9),ISBLANK(S1_Input_Raw!F9)),"",S1_Input_Raw!L9)</f>
        <v>93</v>
      </c>
      <c r="Q9" s="25">
        <f>IF(OR(ISBLANK(S1_Input_Raw!C9),ISBLANK(S1_Input_Raw!D9),ISBLANK(S1_Input_Raw!F9)),"",S1_Input_Raw!M9)</f>
        <v>92</v>
      </c>
      <c r="R9" s="25">
        <f>IF(OR(ISBLANK(S1_Input_Raw!C9),ISBLANK(S1_Input_Raw!D9),ISBLANK(S1_Input_Raw!F9)),"",S1_Input_Raw!N9)</f>
        <v>18</v>
      </c>
      <c r="S9" s="25">
        <f>IF(OR(ISBLANK(S1_Input_Raw!C9),ISBLANK(S1_Input_Raw!D9),ISBLANK(S1_Input_Raw!F9)),"",S1_Input_Raw!O9)</f>
        <v>2736</v>
      </c>
      <c r="T9" s="25">
        <f>IF(OR(ISBLANK(S1_Input_Raw!C9),ISBLANK(S1_Input_Raw!D9),ISBLANK(S1_Input_Raw!F9)),"",S1_Input_Raw!P9)</f>
        <v>1490</v>
      </c>
      <c r="U9" s="25">
        <f>IF(OR(ISBLANK(S1_Input_Raw!C9),ISBLANK(S1_Input_Raw!D9),ISBLANK(S1_Input_Raw!F9)),"",S1_Input_Raw!Q9)</f>
        <v>50</v>
      </c>
      <c r="V9" s="15">
        <f>IF(OR(ISBLANK(S1_Input_Raw!C9),ISBLANK(S1_Input_Raw!D9),ISBLANK(S1_Input_Raw!F9)),"",NR_BMR)</f>
        <v>1206.5</v>
      </c>
      <c r="W9" s="15">
        <f>IF(OR(ISBLANK(S1_Input_Raw!C9),ISBLANK(S1_Input_Raw!D9),ISBLANK(S1_Input_Raw!F9)),"",IFERROR(NR_MET*3.5*NR_WEIGHT/200*R9,""))</f>
        <v>73.08</v>
      </c>
      <c r="X9" s="15">
        <f>IF(OR(ISBLANK(S1_Input_Raw!C9),ISBLANK(S1_Input_Raw!D9),ISBLANK(S1_Input_Raw!F9)),"",IFERROR(V9+W9,""))</f>
        <v>1279.58</v>
      </c>
      <c r="Y9" s="15">
        <f>IF(OR(ISBLANK(S1_Input_Raw!C9),ISBLANK(S1_Input_Raw!D9),ISBLANK(S1_Input_Raw!F9)),"",IFERROR(T9-X9,""))</f>
        <v>210.42000000000007</v>
      </c>
      <c r="Z9" s="25" t="str">
        <f>IF(OR(ISBLANK(S1_Input_Raw!C9),ISBLANK(S1_Input_Raw!D9),ISBLANK(S1_Input_Raw!F9)),"",IF(AND(L9&gt;NR_SOL_REF,M9&gt;NR_AWAKE_REF,AQ9&lt;NR_SE_REF),"복합형(잠들기어려움+자주깨어남)",IF(AND(L9&lt;=NR_SOL_REF,M9&gt;NR_AWAKE_REF),"자주깨어남형",IF(AND(L9&gt;NR_SOL_REF,M9&lt;=NR_AWAKE_REF),"잠들기어려움형","양호"))))</f>
        <v>복합형(잠들기어려움+자주깨어남)</v>
      </c>
      <c r="AA9" s="25" t="str">
        <f>IF(OR(ISBLANK(S1_Input_Raw!C9),ISBLANK(S1_Input_Raw!D9),ISBLANK(S1_Input_Raw!F9)),"",IFERROR(IF(R9&lt;=PERCENTILE($R$5:$R$11,1/3),"저활동",IF(R9&lt;=PERCENTILE($R$5:$R$11,2/3),"중활동","고활동")),""))</f>
        <v>저활동</v>
      </c>
      <c r="AB9" s="25">
        <f>IF(OR(ISBLANK(S1_Input_Raw!C9),ISBLANK(S1_Input_Raw!D9),ISBLANK(S1_Input_Raw!F9)),"",N9-AVERAGE($N$5:$N$11))</f>
        <v>11.285714285714285</v>
      </c>
      <c r="AC9" s="25">
        <f>IF(OR(ISBLANK(S1_Input_Raw!C9),ISBLANK(S1_Input_Raw!D9),ISBLANK(S1_Input_Raw!F9)),"",O9-AVERAGE($O$5:$O$11))</f>
        <v>3.2857142857142865</v>
      </c>
      <c r="AD9" s="25">
        <f>IF(OR(ISBLANK(S1_Input_Raw!C9),ISBLANK(S1_Input_Raw!D9),ISBLANK(S1_Input_Raw!F9)),"",AVERAGE($P$5:$P$11)-P9)</f>
        <v>3.2857142857142918</v>
      </c>
      <c r="AE9" s="25" t="b">
        <f>IF(OR(ISBLANK(S1_Input_Raw!C9),ISBLANK(S1_Input_Raw!D9),ISBLANK(S1_Input_Raw!F9)),FALSE(),AND(AB9&gt;=NR_DEV_HR,AC9&gt;=NR_DEV_RR,AD9&gt;=NR_DEV_SPO2))</f>
        <v>1</v>
      </c>
      <c r="AF9" s="25" t="b">
        <f>IF(OR(ISBLANK(S1_Input_Raw!C9),ISBLANK(S1_Input_Raw!D9),ISBLANK(S1_Input_Raw!F9)),FALSE(),R9=MIN($R$5:$R$11))</f>
        <v>1</v>
      </c>
      <c r="AG9" s="25" t="b">
        <f>IF(OR(ISBLANK(S1_Input_Raw!C9),ISBLANK(S1_Input_Raw!D9),ISBLANK(S1_Input_Raw!F9)),FALSE(),U9=MIN($U$5:$U$11))</f>
        <v>1</v>
      </c>
      <c r="AH9" s="25" t="b">
        <f>IF(OR(ISBLANK(S1_Input_Raw!C9),ISBLANK(S1_Input_Raw!D9),ISBLANK(S1_Input_Raw!F9)),FALSE(),AND(AE9,OR(AF9,AG9)))</f>
        <v>1</v>
      </c>
      <c r="AI9" s="25">
        <f>IF(OR(ISBLANK(S1_Input_Raw!C9),ISBLANK(S1_Input_Raw!D9),ISBLANK(S1_Input_Raw!F9)),"",IF(S1_Input_Raw!R9="",G9,S1_Input_Raw!R9))</f>
        <v>63</v>
      </c>
      <c r="AJ9" s="13">
        <f>IF(OR(ISBLANK(S1_Input_Raw!C9),ISBLANK(S1_Input_Raw!D9),ISBLANK(S1_Input_Raw!F9)),"",IFERROR(AI9/M9,""))</f>
        <v>15.75</v>
      </c>
      <c r="AK9" s="25">
        <f>IF(OR(ISBLANK(S1_Input_Raw!C9),ISBLANK(S1_Input_Raw!D9),ISBLANK(S1_Input_Raw!F9)),"",IF(S1_Input_Raw!R9="",0,AI9-G9))</f>
        <v>-4.0000000000001705</v>
      </c>
      <c r="AL9" s="25" t="str">
        <f>IF(OR(ISBLANK(S1_Input_Raw!C9),ISBLANK(S1_Input_Raw!D9),ISBLANK(S1_Input_Raw!F9)),"미모니터링","모니터링됨")</f>
        <v>모니터링됨</v>
      </c>
      <c r="AM9" s="25" t="str">
        <f>IF(OR(ISBLANK(S1_Input_Raw!C9),ISBLANK(S1_Input_Raw!D9),ISBLANK(S1_Input_Raw!F9)),"",IF(G9&lt;0,"⚠ TIB가 SOL+TST보다 작음 — 취침·기상시각 확인 필요","정상"))</f>
        <v>정상</v>
      </c>
      <c r="AN9" s="13">
        <f>IF(OR(ISBLANK(S1_Input_Raw!C9),ISBLANK(S1_Input_Raw!D9),ISBLANK(S1_Input_Raw!F9)),"",IF(S1_Input_Raw!S9="","",S1_Input_Raw!S9))</f>
        <v>66</v>
      </c>
      <c r="AO9" s="13">
        <f>IF(OR(ISBLANK(S1_Input_Raw!C9),ISBLANK(S1_Input_Raw!D9),ISBLANK(S1_Input_Raw!F9)),"",IF(AN9="","",H9-AN9))</f>
        <v>1.9365079365078941</v>
      </c>
      <c r="AP9" s="25" t="str">
        <f>IF(OR(ISBLANK(S1_Input_Raw!C9),ISBLANK(S1_Input_Raw!D9),ISBLANK(S1_Input_Raw!F9)),"",IF(AN9="","",IF(ABS(AO9)&gt;=NR_SE_DIFF_REF,"⚠ 차이 큼 — 취침·기상시각 자동감지 방식 차이일 수 있음","일치")))</f>
        <v>일치</v>
      </c>
      <c r="AQ9" s="13">
        <f>IF(OR(ISBLANK(S1_Input_Raw!C9),ISBLANK(S1_Input_Raw!D9),ISBLANK(S1_Input_Raw!F9)),"",IF(AN9="",H9,AN9))</f>
        <v>66</v>
      </c>
    </row>
    <row r="10" spans="1:43" ht="15.75" customHeight="1">
      <c r="A10" s="22" t="str">
        <f>S1_Input_Raw!A10</f>
        <v>토</v>
      </c>
      <c r="B10" s="23">
        <f>S1_Input_Raw!B10</f>
        <v>46278</v>
      </c>
      <c r="C10" s="25">
        <f>IF(OR(ISBLANK(S1_Input_Raw!C10),ISBLANK(S1_Input_Raw!D10),ISBLANK(S1_Input_Raw!F10)),"",IF(S1_Input_Raw!C10&gt;=0.5,(S1_Input_Raw!C10-1)*1440,S1_Input_Raw!C10*1440))</f>
        <v>-45</v>
      </c>
      <c r="D10" s="25">
        <f>IF(OR(ISBLANK(S1_Input_Raw!C10),ISBLANK(S1_Input_Raw!D10),ISBLANK(S1_Input_Raw!F10)),"",S1_Input_Raw!D10*1440)</f>
        <v>425.00000000000017</v>
      </c>
      <c r="E10" s="25">
        <f>IF(OR(ISBLANK(S1_Input_Raw!C10),ISBLANK(S1_Input_Raw!D10),ISBLANK(S1_Input_Raw!F10)),"",D10-C10)</f>
        <v>470.00000000000017</v>
      </c>
      <c r="F10" s="25">
        <f>IF(OR(ISBLANK(S1_Input_Raw!C10),ISBLANK(S1_Input_Raw!D10),ISBLANK(S1_Input_Raw!F10)),"",S1_Input_Raw!F10+S1_Input_Raw!G10+S1_Input_Raw!H10)</f>
        <v>400</v>
      </c>
      <c r="G10" s="25">
        <f>IF(OR(ISBLANK(S1_Input_Raw!C10),ISBLANK(S1_Input_Raw!D10),ISBLANK(S1_Input_Raw!F10)),"",E10-S1_Input_Raw!E10-F10)</f>
        <v>55.000000000000171</v>
      </c>
      <c r="H10" s="13">
        <f>IF(OR(ISBLANK(S1_Input_Raw!C10),ISBLANK(S1_Input_Raw!D10),ISBLANK(S1_Input_Raw!F10)),"",IFERROR(F10/E10*100,""))</f>
        <v>85.106382978723374</v>
      </c>
      <c r="I10" s="13">
        <f>IF(OR(ISBLANK(S1_Input_Raw!C10),ISBLANK(S1_Input_Raw!D10),ISBLANK(S1_Input_Raw!F10)),"",IFERROR(S1_Input_Raw!F10/F10*100,""))</f>
        <v>22</v>
      </c>
      <c r="J10" s="13">
        <f>IF(OR(ISBLANK(S1_Input_Raw!C10),ISBLANK(S1_Input_Raw!D10),ISBLANK(S1_Input_Raw!F10)),"",IFERROR(S1_Input_Raw!G10/F10*100,""))</f>
        <v>48</v>
      </c>
      <c r="K10" s="13">
        <f>IF(OR(ISBLANK(S1_Input_Raw!C10),ISBLANK(S1_Input_Raw!D10),ISBLANK(S1_Input_Raw!F10)),"",IFERROR(S1_Input_Raw!H10/F10*100,""))</f>
        <v>30</v>
      </c>
      <c r="L10" s="24">
        <f>IF(OR(ISBLANK(S1_Input_Raw!C10),ISBLANK(S1_Input_Raw!D10),ISBLANK(S1_Input_Raw!F10)),"",S1_Input_Raw!E10)</f>
        <v>15</v>
      </c>
      <c r="M10" s="25">
        <f>IF(OR(ISBLANK(S1_Input_Raw!C10),ISBLANK(S1_Input_Raw!D10),ISBLANK(S1_Input_Raw!F10)),"",S1_Input_Raw!I10)</f>
        <v>2</v>
      </c>
      <c r="N10" s="25">
        <f>IF(OR(ISBLANK(S1_Input_Raw!C10),ISBLANK(S1_Input_Raw!D10),ISBLANK(S1_Input_Raw!F10)),"",S1_Input_Raw!J10)</f>
        <v>55</v>
      </c>
      <c r="O10" s="25">
        <f>IF(OR(ISBLANK(S1_Input_Raw!C10),ISBLANK(S1_Input_Raw!D10),ISBLANK(S1_Input_Raw!F10)),"",S1_Input_Raw!K10)</f>
        <v>14</v>
      </c>
      <c r="P10" s="25">
        <f>IF(OR(ISBLANK(S1_Input_Raw!C10),ISBLANK(S1_Input_Raw!D10),ISBLANK(S1_Input_Raw!F10)),"",S1_Input_Raw!L10)</f>
        <v>98</v>
      </c>
      <c r="Q10" s="25">
        <f>IF(OR(ISBLANK(S1_Input_Raw!C10),ISBLANK(S1_Input_Raw!D10),ISBLANK(S1_Input_Raw!F10)),"",S1_Input_Raw!M10)</f>
        <v>97</v>
      </c>
      <c r="R10" s="25">
        <f>IF(OR(ISBLANK(S1_Input_Raw!C10),ISBLANK(S1_Input_Raw!D10),ISBLANK(S1_Input_Raw!F10)),"",S1_Input_Raw!N10)</f>
        <v>62</v>
      </c>
      <c r="S10" s="25">
        <f>IF(OR(ISBLANK(S1_Input_Raw!C10),ISBLANK(S1_Input_Raw!D10),ISBLANK(S1_Input_Raw!F10)),"",S1_Input_Raw!O10)</f>
        <v>9424</v>
      </c>
      <c r="T10" s="25">
        <f>IF(OR(ISBLANK(S1_Input_Raw!C10),ISBLANK(S1_Input_Raw!D10),ISBLANK(S1_Input_Raw!F10)),"",S1_Input_Raw!P10)</f>
        <v>1780</v>
      </c>
      <c r="U10" s="25">
        <f>IF(OR(ISBLANK(S1_Input_Raw!C10),ISBLANK(S1_Input_Raw!D10),ISBLANK(S1_Input_Raw!F10)),"",S1_Input_Raw!Q10)</f>
        <v>74</v>
      </c>
      <c r="V10" s="15">
        <f>IF(OR(ISBLANK(S1_Input_Raw!C10),ISBLANK(S1_Input_Raw!D10),ISBLANK(S1_Input_Raw!F10)),"",NR_BMR)</f>
        <v>1206.5</v>
      </c>
      <c r="W10" s="15">
        <f>IF(OR(ISBLANK(S1_Input_Raw!C10),ISBLANK(S1_Input_Raw!D10),ISBLANK(S1_Input_Raw!F10)),"",IFERROR(NR_MET*3.5*NR_WEIGHT/200*R10,""))</f>
        <v>251.71999999999997</v>
      </c>
      <c r="X10" s="15">
        <f>IF(OR(ISBLANK(S1_Input_Raw!C10),ISBLANK(S1_Input_Raw!D10),ISBLANK(S1_Input_Raw!F10)),"",IFERROR(V10+W10,""))</f>
        <v>1458.22</v>
      </c>
      <c r="Y10" s="15">
        <f>IF(OR(ISBLANK(S1_Input_Raw!C10),ISBLANK(S1_Input_Raw!D10),ISBLANK(S1_Input_Raw!F10)),"",IFERROR(T10-X10,""))</f>
        <v>321.77999999999997</v>
      </c>
      <c r="Z10" s="25" t="str">
        <f>IF(OR(ISBLANK(S1_Input_Raw!C10),ISBLANK(S1_Input_Raw!D10),ISBLANK(S1_Input_Raw!F10)),"",IF(AND(L10&gt;NR_SOL_REF,M10&gt;NR_AWAKE_REF,AQ10&lt;NR_SE_REF),"복합형(잠들기어려움+자주깨어남)",IF(AND(L10&lt;=NR_SOL_REF,M10&gt;NR_AWAKE_REF),"자주깨어남형",IF(AND(L10&gt;NR_SOL_REF,M10&lt;=NR_AWAKE_REF),"잠들기어려움형","양호"))))</f>
        <v>양호</v>
      </c>
      <c r="AA10" s="25" t="str">
        <f>IF(OR(ISBLANK(S1_Input_Raw!C10),ISBLANK(S1_Input_Raw!D10),ISBLANK(S1_Input_Raw!F10)),"",IFERROR(IF(R10&lt;=PERCENTILE($R$5:$R$11,1/3),"저활동",IF(R10&lt;=PERCENTILE($R$5:$R$11,2/3),"중활동","고활동")),""))</f>
        <v>고활동</v>
      </c>
      <c r="AB10" s="25">
        <f>IF(OR(ISBLANK(S1_Input_Raw!C10),ISBLANK(S1_Input_Raw!D10),ISBLANK(S1_Input_Raw!F10)),"",N10-AVERAGE($N$5:$N$11))</f>
        <v>-4.7142857142857153</v>
      </c>
      <c r="AC10" s="25">
        <f>IF(OR(ISBLANK(S1_Input_Raw!C10),ISBLANK(S1_Input_Raw!D10),ISBLANK(S1_Input_Raw!F10)),"",O10-AVERAGE($O$5:$O$11))</f>
        <v>-1.7142857142857135</v>
      </c>
      <c r="AD10" s="25">
        <f>IF(OR(ISBLANK(S1_Input_Raw!C10),ISBLANK(S1_Input_Raw!D10),ISBLANK(S1_Input_Raw!F10)),"",AVERAGE($P$5:$P$11)-P10)</f>
        <v>-1.7142857142857082</v>
      </c>
      <c r="AE10" s="25" t="b">
        <f>IF(OR(ISBLANK(S1_Input_Raw!C10),ISBLANK(S1_Input_Raw!D10),ISBLANK(S1_Input_Raw!F10)),FALSE(),AND(AB10&gt;=NR_DEV_HR,AC10&gt;=NR_DEV_RR,AD10&gt;=NR_DEV_SPO2))</f>
        <v>0</v>
      </c>
      <c r="AF10" s="25" t="b">
        <f>IF(OR(ISBLANK(S1_Input_Raw!C10),ISBLANK(S1_Input_Raw!D10),ISBLANK(S1_Input_Raw!F10)),FALSE(),R10=MIN($R$5:$R$11))</f>
        <v>0</v>
      </c>
      <c r="AG10" s="25" t="b">
        <f>IF(OR(ISBLANK(S1_Input_Raw!C10),ISBLANK(S1_Input_Raw!D10),ISBLANK(S1_Input_Raw!F10)),FALSE(),U10=MIN($U$5:$U$11))</f>
        <v>0</v>
      </c>
      <c r="AH10" s="25" t="b">
        <f>IF(OR(ISBLANK(S1_Input_Raw!C10),ISBLANK(S1_Input_Raw!D10),ISBLANK(S1_Input_Raw!F10)),FALSE(),AND(AE10,OR(AF10,AG10)))</f>
        <v>0</v>
      </c>
      <c r="AI10" s="25">
        <f>IF(OR(ISBLANK(S1_Input_Raw!C10),ISBLANK(S1_Input_Raw!D10),ISBLANK(S1_Input_Raw!F10)),"",IF(S1_Input_Raw!R10="",G10,S1_Input_Raw!R10))</f>
        <v>58</v>
      </c>
      <c r="AJ10" s="13">
        <f>IF(OR(ISBLANK(S1_Input_Raw!C10),ISBLANK(S1_Input_Raw!D10),ISBLANK(S1_Input_Raw!F10)),"",IFERROR(AI10/M10,""))</f>
        <v>29</v>
      </c>
      <c r="AK10" s="25">
        <f>IF(OR(ISBLANK(S1_Input_Raw!C10),ISBLANK(S1_Input_Raw!D10),ISBLANK(S1_Input_Raw!F10)),"",IF(S1_Input_Raw!R10="",0,AI10-G10))</f>
        <v>2.9999999999998295</v>
      </c>
      <c r="AL10" s="25" t="str">
        <f>IF(OR(ISBLANK(S1_Input_Raw!C10),ISBLANK(S1_Input_Raw!D10),ISBLANK(S1_Input_Raw!F10)),"미모니터링","모니터링됨")</f>
        <v>모니터링됨</v>
      </c>
      <c r="AM10" s="25" t="str">
        <f>IF(OR(ISBLANK(S1_Input_Raw!C10),ISBLANK(S1_Input_Raw!D10),ISBLANK(S1_Input_Raw!F10)),"",IF(G10&lt;0,"⚠ TIB가 SOL+TST보다 작음 — 취침·기상시각 확인 필요","정상"))</f>
        <v>정상</v>
      </c>
      <c r="AN10" s="13">
        <f>IF(OR(ISBLANK(S1_Input_Raw!C10),ISBLANK(S1_Input_Raw!D10),ISBLANK(S1_Input_Raw!F10)),"",IF(S1_Input_Raw!S10="","",S1_Input_Raw!S10))</f>
        <v>83</v>
      </c>
      <c r="AO10" s="13">
        <f>IF(OR(ISBLANK(S1_Input_Raw!C10),ISBLANK(S1_Input_Raw!D10),ISBLANK(S1_Input_Raw!F10)),"",IF(AN10="","",H10-AN10))</f>
        <v>2.1063829787233743</v>
      </c>
      <c r="AP10" s="25" t="str">
        <f>IF(OR(ISBLANK(S1_Input_Raw!C10),ISBLANK(S1_Input_Raw!D10),ISBLANK(S1_Input_Raw!F10)),"",IF(AN10="","",IF(ABS(AO10)&gt;=NR_SE_DIFF_REF,"⚠ 차이 큼 — 취침·기상시각 자동감지 방식 차이일 수 있음","일치")))</f>
        <v>일치</v>
      </c>
      <c r="AQ10" s="13">
        <f>IF(OR(ISBLANK(S1_Input_Raw!C10),ISBLANK(S1_Input_Raw!D10),ISBLANK(S1_Input_Raw!F10)),"",IF(AN10="",H10,AN10))</f>
        <v>83</v>
      </c>
    </row>
    <row r="11" spans="1:43" ht="15.75" customHeight="1">
      <c r="A11" s="22" t="str">
        <f>S1_Input_Raw!A11</f>
        <v>일</v>
      </c>
      <c r="B11" s="23">
        <f>S1_Input_Raw!B11</f>
        <v>46279</v>
      </c>
      <c r="C11" s="25">
        <f>IF(OR(ISBLANK(S1_Input_Raw!C11),ISBLANK(S1_Input_Raw!D11),ISBLANK(S1_Input_Raw!F11)),"",IF(S1_Input_Raw!C11&gt;=0.5,(S1_Input_Raw!C11-1)*1440,S1_Input_Raw!C11*1440))</f>
        <v>-4.9999999999996625</v>
      </c>
      <c r="D11" s="25">
        <f>IF(OR(ISBLANK(S1_Input_Raw!C11),ISBLANK(S1_Input_Raw!D11),ISBLANK(S1_Input_Raw!F11)),"",S1_Input_Raw!D11*1440)</f>
        <v>414.99999999999932</v>
      </c>
      <c r="E11" s="25">
        <f>IF(OR(ISBLANK(S1_Input_Raw!C11),ISBLANK(S1_Input_Raw!D11),ISBLANK(S1_Input_Raw!F11)),"",D11-C11)</f>
        <v>419.99999999999898</v>
      </c>
      <c r="F11" s="25">
        <f>IF(OR(ISBLANK(S1_Input_Raw!C11),ISBLANK(S1_Input_Raw!D11),ISBLANK(S1_Input_Raw!F11)),"",S1_Input_Raw!F11+S1_Input_Raw!G11+S1_Input_Raw!H11)</f>
        <v>344</v>
      </c>
      <c r="G11" s="25">
        <f>IF(OR(ISBLANK(S1_Input_Raw!C11),ISBLANK(S1_Input_Raw!D11),ISBLANK(S1_Input_Raw!F11)),"",E11-S1_Input_Raw!E11-F11)</f>
        <v>55.999999999998977</v>
      </c>
      <c r="H11" s="13">
        <f>IF(OR(ISBLANK(S1_Input_Raw!C11),ISBLANK(S1_Input_Raw!D11),ISBLANK(S1_Input_Raw!F11)),"",IFERROR(F11/E11*100,""))</f>
        <v>81.904761904762097</v>
      </c>
      <c r="I11" s="13">
        <f>IF(OR(ISBLANK(S1_Input_Raw!C11),ISBLANK(S1_Input_Raw!D11),ISBLANK(S1_Input_Raw!F11)),"",IFERROR(S1_Input_Raw!F11/F11*100,""))</f>
        <v>18.895348837209301</v>
      </c>
      <c r="J11" s="13">
        <f>IF(OR(ISBLANK(S1_Input_Raw!C11),ISBLANK(S1_Input_Raw!D11),ISBLANK(S1_Input_Raw!F11)),"",IFERROR(S1_Input_Raw!G11/F11*100,""))</f>
        <v>52.906976744186053</v>
      </c>
      <c r="K11" s="13">
        <f>IF(OR(ISBLANK(S1_Input_Raw!C11),ISBLANK(S1_Input_Raw!D11),ISBLANK(S1_Input_Raw!F11)),"",IFERROR(S1_Input_Raw!H11/F11*100,""))</f>
        <v>28.197674418604652</v>
      </c>
      <c r="L11" s="24">
        <f>IF(OR(ISBLANK(S1_Input_Raw!C11),ISBLANK(S1_Input_Raw!D11),ISBLANK(S1_Input_Raw!F11)),"",S1_Input_Raw!E11)</f>
        <v>20</v>
      </c>
      <c r="M11" s="25">
        <f>IF(OR(ISBLANK(S1_Input_Raw!C11),ISBLANK(S1_Input_Raw!D11),ISBLANK(S1_Input_Raw!F11)),"",S1_Input_Raw!I11)</f>
        <v>3</v>
      </c>
      <c r="N11" s="25">
        <f>IF(OR(ISBLANK(S1_Input_Raw!C11),ISBLANK(S1_Input_Raw!D11),ISBLANK(S1_Input_Raw!F11)),"",S1_Input_Raw!J11)</f>
        <v>56</v>
      </c>
      <c r="O11" s="25">
        <f>IF(OR(ISBLANK(S1_Input_Raw!C11),ISBLANK(S1_Input_Raw!D11),ISBLANK(S1_Input_Raw!F11)),"",S1_Input_Raw!K11)</f>
        <v>15</v>
      </c>
      <c r="P11" s="25">
        <f>IF(OR(ISBLANK(S1_Input_Raw!C11),ISBLANK(S1_Input_Raw!D11),ISBLANK(S1_Input_Raw!F11)),"",S1_Input_Raw!L11)</f>
        <v>97</v>
      </c>
      <c r="Q11" s="25">
        <f>IF(OR(ISBLANK(S1_Input_Raw!C11),ISBLANK(S1_Input_Raw!D11),ISBLANK(S1_Input_Raw!F11)),"",S1_Input_Raw!M11)</f>
        <v>96</v>
      </c>
      <c r="R11" s="25">
        <f>IF(OR(ISBLANK(S1_Input_Raw!C11),ISBLANK(S1_Input_Raw!D11),ISBLANK(S1_Input_Raw!F11)),"",S1_Input_Raw!N11)</f>
        <v>45</v>
      </c>
      <c r="S11" s="25">
        <f>IF(OR(ISBLANK(S1_Input_Raw!C11),ISBLANK(S1_Input_Raw!D11),ISBLANK(S1_Input_Raw!F11)),"",S1_Input_Raw!O11)</f>
        <v>6840</v>
      </c>
      <c r="T11" s="25">
        <f>IF(OR(ISBLANK(S1_Input_Raw!C11),ISBLANK(S1_Input_Raw!D11),ISBLANK(S1_Input_Raw!F11)),"",S1_Input_Raw!P11)</f>
        <v>1660</v>
      </c>
      <c r="U11" s="25">
        <f>IF(OR(ISBLANK(S1_Input_Raw!C11),ISBLANK(S1_Input_Raw!D11),ISBLANK(S1_Input_Raw!F11)),"",S1_Input_Raw!Q11)</f>
        <v>70</v>
      </c>
      <c r="V11" s="15">
        <f>IF(OR(ISBLANK(S1_Input_Raw!C11),ISBLANK(S1_Input_Raw!D11),ISBLANK(S1_Input_Raw!F11)),"",NR_BMR)</f>
        <v>1206.5</v>
      </c>
      <c r="W11" s="15">
        <f>IF(OR(ISBLANK(S1_Input_Raw!C11),ISBLANK(S1_Input_Raw!D11),ISBLANK(S1_Input_Raw!F11)),"",IFERROR(NR_MET*3.5*NR_WEIGHT/200*R11,""))</f>
        <v>182.7</v>
      </c>
      <c r="X11" s="15">
        <f>IF(OR(ISBLANK(S1_Input_Raw!C11),ISBLANK(S1_Input_Raw!D11),ISBLANK(S1_Input_Raw!F11)),"",IFERROR(V11+W11,""))</f>
        <v>1389.2</v>
      </c>
      <c r="Y11" s="15">
        <f>IF(OR(ISBLANK(S1_Input_Raw!C11),ISBLANK(S1_Input_Raw!D11),ISBLANK(S1_Input_Raw!F11)),"",IFERROR(T11-X11,""))</f>
        <v>270.79999999999995</v>
      </c>
      <c r="Z11" s="25" t="str">
        <f>IF(OR(ISBLANK(S1_Input_Raw!C11),ISBLANK(S1_Input_Raw!D11),ISBLANK(S1_Input_Raw!F11)),"",IF(AND(L11&gt;NR_SOL_REF,M11&gt;NR_AWAKE_REF,AQ11&lt;NR_SE_REF),"복합형(잠들기어려움+자주깨어남)",IF(AND(L11&lt;=NR_SOL_REF,M11&gt;NR_AWAKE_REF),"자주깨어남형",IF(AND(L11&gt;NR_SOL_REF,M11&lt;=NR_AWAKE_REF),"잠들기어려움형","양호"))))</f>
        <v>자주깨어남형</v>
      </c>
      <c r="AA11" s="25" t="str">
        <f>IF(OR(ISBLANK(S1_Input_Raw!C11),ISBLANK(S1_Input_Raw!D11),ISBLANK(S1_Input_Raw!F11)),"",IFERROR(IF(R11&lt;=PERCENTILE($R$5:$R$11,1/3),"저활동",IF(R11&lt;=PERCENTILE($R$5:$R$11,2/3),"중활동","고활동")),""))</f>
        <v>중활동</v>
      </c>
      <c r="AB11" s="25">
        <f>IF(OR(ISBLANK(S1_Input_Raw!C11),ISBLANK(S1_Input_Raw!D11),ISBLANK(S1_Input_Raw!F11)),"",N11-AVERAGE($N$5:$N$11))</f>
        <v>-3.7142857142857153</v>
      </c>
      <c r="AC11" s="25">
        <f>IF(OR(ISBLANK(S1_Input_Raw!C11),ISBLANK(S1_Input_Raw!D11),ISBLANK(S1_Input_Raw!F11)),"",O11-AVERAGE($O$5:$O$11))</f>
        <v>-0.71428571428571352</v>
      </c>
      <c r="AD11" s="25">
        <f>IF(OR(ISBLANK(S1_Input_Raw!C11),ISBLANK(S1_Input_Raw!D11),ISBLANK(S1_Input_Raw!F11)),"",AVERAGE($P$5:$P$11)-P11)</f>
        <v>-0.7142857142857082</v>
      </c>
      <c r="AE11" s="25" t="b">
        <f>IF(OR(ISBLANK(S1_Input_Raw!C11),ISBLANK(S1_Input_Raw!D11),ISBLANK(S1_Input_Raw!F11)),FALSE(),AND(AB11&gt;=NR_DEV_HR,AC11&gt;=NR_DEV_RR,AD11&gt;=NR_DEV_SPO2))</f>
        <v>0</v>
      </c>
      <c r="AF11" s="25" t="b">
        <f>IF(OR(ISBLANK(S1_Input_Raw!C11),ISBLANK(S1_Input_Raw!D11),ISBLANK(S1_Input_Raw!F11)),FALSE(),R11=MIN($R$5:$R$11))</f>
        <v>0</v>
      </c>
      <c r="AG11" s="25" t="b">
        <f>IF(OR(ISBLANK(S1_Input_Raw!C11),ISBLANK(S1_Input_Raw!D11),ISBLANK(S1_Input_Raw!F11)),FALSE(),U11=MIN($U$5:$U$11))</f>
        <v>0</v>
      </c>
      <c r="AH11" s="25" t="b">
        <f>IF(OR(ISBLANK(S1_Input_Raw!C11),ISBLANK(S1_Input_Raw!D11),ISBLANK(S1_Input_Raw!F11)),FALSE(),AND(AE11,OR(AF11,AG11)))</f>
        <v>0</v>
      </c>
      <c r="AI11" s="25">
        <f>IF(OR(ISBLANK(S1_Input_Raw!C11),ISBLANK(S1_Input_Raw!D11),ISBLANK(S1_Input_Raw!F11)),"",IF(S1_Input_Raw!R11="",G11,S1_Input_Raw!R11))</f>
        <v>59</v>
      </c>
      <c r="AJ11" s="13">
        <f>IF(OR(ISBLANK(S1_Input_Raw!C11),ISBLANK(S1_Input_Raw!D11),ISBLANK(S1_Input_Raw!F11)),"",IFERROR(AI11/M11,""))</f>
        <v>19.666666666666668</v>
      </c>
      <c r="AK11" s="25">
        <f>IF(OR(ISBLANK(S1_Input_Raw!C11),ISBLANK(S1_Input_Raw!D11),ISBLANK(S1_Input_Raw!F11)),"",IF(S1_Input_Raw!R11="",0,AI11-G11))</f>
        <v>3.0000000000010232</v>
      </c>
      <c r="AL11" s="25" t="str">
        <f>IF(OR(ISBLANK(S1_Input_Raw!C11),ISBLANK(S1_Input_Raw!D11),ISBLANK(S1_Input_Raw!F11)),"미모니터링","모니터링됨")</f>
        <v>모니터링됨</v>
      </c>
      <c r="AM11" s="25" t="str">
        <f>IF(OR(ISBLANK(S1_Input_Raw!C11),ISBLANK(S1_Input_Raw!D11),ISBLANK(S1_Input_Raw!F11)),"",IF(G11&lt;0,"⚠ TIB가 SOL+TST보다 작음 — 취침·기상시각 확인 필요","정상"))</f>
        <v>정상</v>
      </c>
      <c r="AN11" s="13">
        <f>IF(OR(ISBLANK(S1_Input_Raw!C11),ISBLANK(S1_Input_Raw!D11),ISBLANK(S1_Input_Raw!F11)),"",IF(S1_Input_Raw!S11="","",S1_Input_Raw!S11))</f>
        <v>79</v>
      </c>
      <c r="AO11" s="13">
        <f>IF(OR(ISBLANK(S1_Input_Raw!C11),ISBLANK(S1_Input_Raw!D11),ISBLANK(S1_Input_Raw!F11)),"",IF(AN11="","",H11-AN11))</f>
        <v>2.9047619047620969</v>
      </c>
      <c r="AP11" s="25" t="str">
        <f>IF(OR(ISBLANK(S1_Input_Raw!C11),ISBLANK(S1_Input_Raw!D11),ISBLANK(S1_Input_Raw!F11)),"",IF(AN11="","",IF(ABS(AO11)&gt;=NR_SE_DIFF_REF,"⚠ 차이 큼 — 취침·기상시각 자동감지 방식 차이일 수 있음","일치")))</f>
        <v>일치</v>
      </c>
      <c r="AQ11" s="13">
        <f>IF(OR(ISBLANK(S1_Input_Raw!C11),ISBLANK(S1_Input_Raw!D11),ISBLANK(S1_Input_Raw!F11)),"",IF(AN11="",H11,AN11))</f>
        <v>79</v>
      </c>
    </row>
  </sheetData>
  <mergeCells count="2">
    <mergeCell ref="A1:AQ1"/>
    <mergeCell ref="A2:AQ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555B"/>
  </sheetPr>
  <dimension ref="A1:H90"/>
  <sheetViews>
    <sheetView showGridLines="0" zoomScaleNormal="100" workbookViewId="0">
      <pane xSplit="1" ySplit="4" topLeftCell="B5" activePane="bottomRight" state="frozen"/>
      <selection pane="bottomRight"/>
      <selection pane="bottomLeft" activeCell="A5" sqref="A5"/>
      <selection pane="topRight" activeCell="B1" sqref="B1"/>
    </sheetView>
  </sheetViews>
  <sheetFormatPr defaultColWidth="8.7109375" defaultRowHeight="15"/>
  <cols>
    <col min="1" max="1" width="42" customWidth="1"/>
    <col min="2" max="8" width="16" customWidth="1"/>
  </cols>
  <sheetData>
    <row r="1" spans="1:8" ht="25.5" customHeight="1">
      <c r="A1" s="40" t="s">
        <v>170</v>
      </c>
      <c r="B1" s="40"/>
      <c r="C1" s="40"/>
      <c r="D1" s="40"/>
      <c r="E1" s="40"/>
      <c r="F1" s="40"/>
      <c r="G1" s="40"/>
      <c r="H1" s="40"/>
    </row>
    <row r="2" spans="1:8" ht="15.75" customHeight="1">
      <c r="A2" s="42" t="s">
        <v>171</v>
      </c>
      <c r="B2" s="42"/>
      <c r="C2" s="42"/>
      <c r="D2" s="42"/>
      <c r="E2" s="42"/>
      <c r="F2" s="42"/>
      <c r="G2" s="42"/>
      <c r="H2" s="42"/>
    </row>
    <row r="4" spans="1:8" ht="19.5" customHeight="1">
      <c r="A4" s="43" t="s">
        <v>172</v>
      </c>
      <c r="B4" s="43"/>
      <c r="C4" s="43"/>
      <c r="D4" s="43"/>
      <c r="E4" s="43"/>
      <c r="F4" s="43"/>
      <c r="G4" s="43"/>
      <c r="H4" s="43"/>
    </row>
    <row r="5" spans="1:8" ht="30" customHeight="1">
      <c r="A5" s="1" t="s">
        <v>173</v>
      </c>
      <c r="B5" s="1" t="s">
        <v>174</v>
      </c>
      <c r="C5" s="1" t="s">
        <v>175</v>
      </c>
      <c r="D5" s="1" t="s">
        <v>176</v>
      </c>
      <c r="E5" s="1" t="s">
        <v>177</v>
      </c>
      <c r="F5" s="1" t="s">
        <v>178</v>
      </c>
      <c r="G5" s="1" t="s">
        <v>179</v>
      </c>
      <c r="H5" s="1" t="s">
        <v>180</v>
      </c>
    </row>
    <row r="6" spans="1:8">
      <c r="A6" s="14" t="s">
        <v>181</v>
      </c>
      <c r="B6" s="24">
        <f>IFERROR(AVERAGE(D_TST),"")</f>
        <v>300.71428571428572</v>
      </c>
      <c r="C6" s="24">
        <f>IFERROR(MIN(D_TST),"")</f>
        <v>214</v>
      </c>
      <c r="D6" s="24">
        <f>IFERROR(MAX(D_TST),"")</f>
        <v>400</v>
      </c>
      <c r="E6" s="24">
        <f>IFERROR(D6-C6,"")</f>
        <v>186</v>
      </c>
      <c r="F6" s="24">
        <f>IFERROR(STDEV(D_TST),"")</f>
        <v>58.125480028739723</v>
      </c>
      <c r="G6" s="25" t="str">
        <f>IFERROR(INDEX(D_LABEL,MATCH(D6,D_TST,0)),"")</f>
        <v>토</v>
      </c>
      <c r="H6" s="25" t="str">
        <f>IFERROR(INDEX(D_LABEL,MATCH(C6,D_TST,0)),"")</f>
        <v>금</v>
      </c>
    </row>
    <row r="7" spans="1:8">
      <c r="A7" s="14" t="s">
        <v>182</v>
      </c>
      <c r="B7" s="13">
        <f>IFERROR(AVERAGE(D_SE),"")</f>
        <v>75.571428571428569</v>
      </c>
      <c r="C7" s="13">
        <f>IFERROR(MIN(D_SE),"")</f>
        <v>65</v>
      </c>
      <c r="D7" s="13">
        <f>IFERROR(MAX(D_SE),"")</f>
        <v>84</v>
      </c>
      <c r="E7" s="13">
        <f>IFERROR(D7-C7,"")</f>
        <v>19</v>
      </c>
      <c r="F7" s="13">
        <f>IFERROR(STDEV(D_SE),"")</f>
        <v>7.6345081233642205</v>
      </c>
      <c r="G7" s="25" t="str">
        <f>IFERROR(INDEX(D_LABEL,MATCH(D7,D_SE,0)),"")</f>
        <v>수</v>
      </c>
      <c r="H7" s="25" t="str">
        <f>IFERROR(INDEX(D_LABEL,MATCH(C7,D_SE,0)),"")</f>
        <v>목</v>
      </c>
    </row>
    <row r="8" spans="1:8">
      <c r="A8" s="14" t="s">
        <v>183</v>
      </c>
      <c r="B8" s="24">
        <f>IFERROR(AVERAGE(D_SOL),"")</f>
        <v>23.571428571428573</v>
      </c>
      <c r="C8" s="24">
        <f>IFERROR(MIN(D_SOL),"")</f>
        <v>15</v>
      </c>
      <c r="D8" s="24">
        <f>IFERROR(MAX(D_SOL),"")</f>
        <v>34</v>
      </c>
      <c r="E8" s="24">
        <f>IFERROR(D8-C8,"")</f>
        <v>19</v>
      </c>
      <c r="F8" s="24">
        <f>IFERROR(STDEV(D_SOL),"")</f>
        <v>7.6345081233642222</v>
      </c>
      <c r="G8" s="25" t="str">
        <f>IFERROR(INDEX(D_LABEL,MATCH(D8,D_SOL,0)),"")</f>
        <v>금</v>
      </c>
      <c r="H8" s="25" t="str">
        <f>IFERROR(INDEX(D_LABEL,MATCH(C8,D_SOL,0)),"")</f>
        <v>토</v>
      </c>
    </row>
    <row r="9" spans="1:8">
      <c r="A9" s="14" t="s">
        <v>184</v>
      </c>
      <c r="B9" s="13">
        <f>IFERROR(AVERAGE(D_AWAKE),"")</f>
        <v>2.7142857142857144</v>
      </c>
      <c r="C9" s="13">
        <f>IFERROR(MIN(D_AWAKE),"")</f>
        <v>2</v>
      </c>
      <c r="D9" s="13">
        <f>IFERROR(MAX(D_AWAKE),"")</f>
        <v>4</v>
      </c>
      <c r="E9" s="13">
        <f>IFERROR(D9-C9,"")</f>
        <v>2</v>
      </c>
      <c r="F9" s="13">
        <f>IFERROR(STDEV(D_AWAKE),"")</f>
        <v>0.75592894601845462</v>
      </c>
      <c r="G9" s="25" t="str">
        <f>IFERROR(INDEX(D_LABEL,MATCH(D9,D_AWAKE,0)),"")</f>
        <v>금</v>
      </c>
      <c r="H9" s="25" t="str">
        <f>IFERROR(INDEX(D_LABEL,MATCH(C9,D_AWAKE,0)),"")</f>
        <v>월</v>
      </c>
    </row>
    <row r="10" spans="1:8">
      <c r="A10" s="14" t="s">
        <v>185</v>
      </c>
      <c r="B10" s="24">
        <f>IFERROR(AVERAGE(D_HR),"")</f>
        <v>59.714285714285715</v>
      </c>
      <c r="C10" s="24">
        <f>IFERROR(MIN(D_HR),"")</f>
        <v>55</v>
      </c>
      <c r="D10" s="24">
        <f>IFERROR(MAX(D_HR),"")</f>
        <v>71</v>
      </c>
      <c r="E10" s="24">
        <f>IFERROR(D10-C10,"")</f>
        <v>16</v>
      </c>
      <c r="F10" s="24">
        <f>IFERROR(STDEV(D_HR),"")</f>
        <v>5.4072262055600406</v>
      </c>
      <c r="G10" s="25" t="str">
        <f>IFERROR(INDEX(D_LABEL,MATCH(D10,D_HR,0)),"")</f>
        <v>금</v>
      </c>
      <c r="H10" s="25" t="str">
        <f>IFERROR(INDEX(D_LABEL,MATCH(C10,D_HR,0)),"")</f>
        <v>토</v>
      </c>
    </row>
    <row r="11" spans="1:8">
      <c r="A11" s="14" t="s">
        <v>186</v>
      </c>
      <c r="B11" s="24">
        <f>IFERROR(AVERAGE(D_RR),"")</f>
        <v>15.714285714285714</v>
      </c>
      <c r="C11" s="24">
        <f>IFERROR(MIN(D_RR),"")</f>
        <v>14</v>
      </c>
      <c r="D11" s="24">
        <f>IFERROR(MAX(D_RR),"")</f>
        <v>19</v>
      </c>
      <c r="E11" s="24">
        <f>IFERROR(D11-C11,"")</f>
        <v>5</v>
      </c>
      <c r="F11" s="24">
        <f>IFERROR(STDEV(D_RR),"")</f>
        <v>1.6035674514745464</v>
      </c>
      <c r="G11" s="25" t="str">
        <f>IFERROR(INDEX(D_LABEL,MATCH(D11,D_RR,0)),"")</f>
        <v>금</v>
      </c>
      <c r="H11" s="25" t="str">
        <f>IFERROR(INDEX(D_LABEL,MATCH(C11,D_RR,0)),"")</f>
        <v>토</v>
      </c>
    </row>
    <row r="12" spans="1:8">
      <c r="A12" s="12" t="s">
        <v>187</v>
      </c>
      <c r="B12" s="24">
        <f>IFERROR(AVERAGE(D_SPO2),"")</f>
        <v>96.285714285714292</v>
      </c>
      <c r="C12" s="24">
        <f>IFERROR(MIN(D_SPO2),"")</f>
        <v>93</v>
      </c>
      <c r="D12" s="24">
        <f>IFERROR(MAX(D_SPO2),"")</f>
        <v>98</v>
      </c>
      <c r="E12" s="24">
        <f>IFERROR(D12-C12,"")</f>
        <v>5</v>
      </c>
      <c r="F12" s="24">
        <f>IFERROR(STDEV(D_SPO2),"")</f>
        <v>1.6035674514745462</v>
      </c>
      <c r="G12" s="25" t="str">
        <f>IFERROR(INDEX(D_LABEL,MATCH(D12,D_SPO2,0)),"")</f>
        <v>토</v>
      </c>
      <c r="H12" s="25" t="str">
        <f>IFERROR(INDEX(D_LABEL,MATCH(C12,D_SPO2,0)),"")</f>
        <v>금</v>
      </c>
    </row>
    <row r="13" spans="1:8">
      <c r="A13" s="14" t="s">
        <v>188</v>
      </c>
      <c r="B13" s="24">
        <f>IFERROR(AVERAGE(D_ACT),"")</f>
        <v>39.571428571428569</v>
      </c>
      <c r="C13" s="24">
        <f>IFERROR(MIN(D_ACT),"")</f>
        <v>18</v>
      </c>
      <c r="D13" s="24">
        <f>IFERROR(MAX(D_ACT),"")</f>
        <v>62</v>
      </c>
      <c r="E13" s="24">
        <f>IFERROR(D13-C13,"")</f>
        <v>44</v>
      </c>
      <c r="F13" s="24">
        <f>IFERROR(STDEV(D_ACT),"")</f>
        <v>16.112698334513922</v>
      </c>
      <c r="G13" s="25" t="str">
        <f>IFERROR(INDEX(D_LABEL,MATCH(D13,D_ACT,0)),"")</f>
        <v>토</v>
      </c>
      <c r="H13" s="25" t="str">
        <f>IFERROR(INDEX(D_LABEL,MATCH(C13,D_ACT,0)),"")</f>
        <v>금</v>
      </c>
    </row>
    <row r="14" spans="1:8">
      <c r="A14" s="14" t="s">
        <v>189</v>
      </c>
      <c r="B14" s="15">
        <f>IFERROR(AVERAGE(D_KCAL_DEVICE),"")</f>
        <v>1631.4285714285713</v>
      </c>
      <c r="C14" s="15">
        <f>IFERROR(MIN(D_KCAL_DEVICE),"")</f>
        <v>1490</v>
      </c>
      <c r="D14" s="15">
        <f>IFERROR(MAX(D_KCAL_DEVICE),"")</f>
        <v>1780</v>
      </c>
      <c r="E14" s="15">
        <f>IFERROR(D14-C14,"")</f>
        <v>290</v>
      </c>
      <c r="F14" s="15">
        <f>IFERROR(STDEV(D_KCAL_DEVICE),"")</f>
        <v>101.72324733127157</v>
      </c>
      <c r="G14" s="25" t="str">
        <f>IFERROR(INDEX(D_LABEL,MATCH(D14,D_KCAL_DEVICE,0)),"")</f>
        <v>토</v>
      </c>
      <c r="H14" s="25" t="str">
        <f>IFERROR(INDEX(D_LABEL,MATCH(C14,D_KCAL_DEVICE,0)),"")</f>
        <v>금</v>
      </c>
    </row>
    <row r="15" spans="1:8">
      <c r="A15" s="14" t="s">
        <v>190</v>
      </c>
      <c r="B15" s="24">
        <f>IFERROR(AVERAGE(D_VITAL),"")</f>
        <v>65.428571428571431</v>
      </c>
      <c r="C15" s="24">
        <f>IFERROR(MIN(D_VITAL),"")</f>
        <v>50</v>
      </c>
      <c r="D15" s="24">
        <f>IFERROR(MAX(D_VITAL),"")</f>
        <v>74</v>
      </c>
      <c r="E15" s="24">
        <f>IFERROR(D15-C15,"")</f>
        <v>24</v>
      </c>
      <c r="F15" s="24">
        <f>IFERROR(STDEV(D_VITAL),"")</f>
        <v>8.3037570383761246</v>
      </c>
      <c r="G15" s="25" t="str">
        <f>IFERROR(INDEX(D_LABEL,MATCH(D15,D_VITAL,0)),"")</f>
        <v>토</v>
      </c>
      <c r="H15" s="25" t="str">
        <f>IFERROR(INDEX(D_LABEL,MATCH(C15,D_VITAL,0)),"")</f>
        <v>금</v>
      </c>
    </row>
    <row r="16" spans="1:8">
      <c r="A16" s="14" t="s">
        <v>191</v>
      </c>
      <c r="B16" s="13">
        <f>IFERROR(AVERAGE(D_DEEP_PCT),"")</f>
        <v>16.392349953727919</v>
      </c>
      <c r="C16" s="13">
        <f>IFERROR(MIN(D_DEEP_PCT),"")</f>
        <v>8.8785046728971952</v>
      </c>
      <c r="D16" s="13">
        <f>IFERROR(MAX(D_DEEP_PCT),"")</f>
        <v>22</v>
      </c>
      <c r="E16" s="13">
        <f>IFERROR(D16-C16,"")</f>
        <v>13.121495327102805</v>
      </c>
      <c r="F16" s="13">
        <f>IFERROR(STDEV(D_DEEP_PCT),"")</f>
        <v>4.5978739219358067</v>
      </c>
      <c r="G16" s="25" t="str">
        <f>IFERROR(INDEX(D_LABEL,MATCH(D16,D_DEEP_PCT,0)),"")</f>
        <v>토</v>
      </c>
      <c r="H16" s="25" t="str">
        <f>IFERROR(INDEX(D_LABEL,MATCH(C16,D_DEEP_PCT,0)),"")</f>
        <v>금</v>
      </c>
    </row>
    <row r="17" spans="1:8">
      <c r="A17" s="14" t="s">
        <v>192</v>
      </c>
      <c r="B17" s="13">
        <f>IFERROR(AVERAGE(D_LIGHT_PCT),"")</f>
        <v>56.404721799347939</v>
      </c>
      <c r="C17" s="13">
        <f>IFERROR(MIN(D_LIGHT_PCT),"")</f>
        <v>48</v>
      </c>
      <c r="D17" s="13">
        <f>IFERROR(MAX(D_LIGHT_PCT),"")</f>
        <v>65.887850467289724</v>
      </c>
      <c r="E17" s="13">
        <f>IFERROR(D17-C17,"")</f>
        <v>17.887850467289724</v>
      </c>
      <c r="F17" s="13">
        <f>IFERROR(STDEV(D_LIGHT_PCT),"")</f>
        <v>6.1975031865424803</v>
      </c>
      <c r="G17" s="25" t="str">
        <f>IFERROR(INDEX(D_LABEL,MATCH(D17,D_LIGHT_PCT,0)),"")</f>
        <v>금</v>
      </c>
      <c r="H17" s="25" t="str">
        <f>IFERROR(INDEX(D_LABEL,MATCH(C17,D_LIGHT_PCT,0)),"")</f>
        <v>토</v>
      </c>
    </row>
    <row r="18" spans="1:8">
      <c r="A18" s="14" t="s">
        <v>193</v>
      </c>
      <c r="B18" s="13">
        <f>IFERROR(AVERAGE(D_REM_PCT),"")</f>
        <v>27.202928246924152</v>
      </c>
      <c r="C18" s="13">
        <f>IFERROR(MIN(D_REM_PCT),"")</f>
        <v>25.233644859813083</v>
      </c>
      <c r="D18" s="13">
        <f>IFERROR(MAX(D_REM_PCT),"")</f>
        <v>30</v>
      </c>
      <c r="E18" s="13">
        <f>IFERROR(D18-C18,"")</f>
        <v>4.7663551401869171</v>
      </c>
      <c r="F18" s="13">
        <f>IFERROR(STDEV(D_REM_PCT),"")</f>
        <v>1.6752085609177789</v>
      </c>
      <c r="G18" s="25" t="str">
        <f>IFERROR(INDEX(D_LABEL,MATCH(D18,D_REM_PCT,0)),"")</f>
        <v>토</v>
      </c>
      <c r="H18" s="25" t="str">
        <f>IFERROR(INDEX(D_LABEL,MATCH(C18,D_REM_PCT,0)),"")</f>
        <v>금</v>
      </c>
    </row>
    <row r="19" spans="1:8">
      <c r="A19" s="14" t="s">
        <v>194</v>
      </c>
      <c r="B19" s="24">
        <f>IFERROR(AVERAGE(D_WASO_DEVICE),"")</f>
        <v>57</v>
      </c>
      <c r="C19" s="24">
        <f>IFERROR(MIN(D_WASO_DEVICE),"")</f>
        <v>40</v>
      </c>
      <c r="D19" s="24">
        <f>IFERROR(MAX(D_WASO_DEVICE),"")</f>
        <v>69</v>
      </c>
      <c r="E19" s="24">
        <f>IFERROR(D19-C19,"")</f>
        <v>29</v>
      </c>
      <c r="F19" s="24">
        <f>IFERROR(STDEV(D_WASO_DEVICE),"")</f>
        <v>10.984838035522721</v>
      </c>
      <c r="G19" s="25" t="str">
        <f>IFERROR(INDEX(D_LABEL,MATCH(D19,D_WASO_DEVICE,0)),"")</f>
        <v>목</v>
      </c>
      <c r="H19" s="25" t="str">
        <f>IFERROR(INDEX(D_LABEL,MATCH(C19,D_WASO_DEVICE,0)),"")</f>
        <v>수</v>
      </c>
    </row>
    <row r="20" spans="1:8">
      <c r="A20" s="14" t="s">
        <v>195</v>
      </c>
      <c r="B20" s="13">
        <f>IFERROR(AVERAGE(D_AVGDUR),"")</f>
        <v>21.63095238095238</v>
      </c>
      <c r="C20" s="13">
        <f>IFERROR(MIN(D_AVGDUR),"")</f>
        <v>15.75</v>
      </c>
      <c r="D20" s="13">
        <f>IFERROR(MAX(D_AVGDUR),"")</f>
        <v>29</v>
      </c>
      <c r="E20" s="13">
        <f>IFERROR(D20-C20,"")</f>
        <v>13.25</v>
      </c>
      <c r="F20" s="13">
        <f>IFERROR(STDEV(D_AVGDUR),"")</f>
        <v>4.0322361750558047</v>
      </c>
      <c r="G20" s="25" t="str">
        <f>IFERROR(INDEX(D_LABEL,MATCH(D20,D_AVGDUR,0)),"")</f>
        <v>토</v>
      </c>
      <c r="H20" s="25" t="str">
        <f>IFERROR(INDEX(D_LABEL,MATCH(C20,D_AVGDUR,0)),"")</f>
        <v>금</v>
      </c>
    </row>
    <row r="22" spans="1:8" ht="19.5" customHeight="1">
      <c r="A22" s="43" t="s">
        <v>196</v>
      </c>
      <c r="B22" s="43"/>
      <c r="C22" s="43"/>
      <c r="D22" s="43"/>
      <c r="E22" s="43"/>
      <c r="F22" s="43"/>
      <c r="G22" s="43"/>
      <c r="H22" s="43"/>
    </row>
    <row r="23" spans="1:8">
      <c r="A23" s="14" t="s">
        <v>197</v>
      </c>
      <c r="B23" s="26">
        <f>AVERAGE(D_BEDMIN)</f>
        <v>17.142857142857206</v>
      </c>
    </row>
    <row r="24" spans="1:8">
      <c r="A24" s="14" t="s">
        <v>198</v>
      </c>
      <c r="B24" s="26">
        <f>STDEV(D_BEDMIN)</f>
        <v>35.456210417116708</v>
      </c>
    </row>
    <row r="25" spans="1:8">
      <c r="A25" s="14" t="s">
        <v>199</v>
      </c>
      <c r="B25" s="27">
        <f>IF(B23&lt;0,1+(B23/1440),B23/1440)</f>
        <v>1.1904761904761949E-2</v>
      </c>
    </row>
    <row r="26" spans="1:8">
      <c r="A26" s="14" t="s">
        <v>200</v>
      </c>
      <c r="B26" s="26">
        <f>AVERAGE(D_WAKEMIN)</f>
        <v>397.85714285714283</v>
      </c>
    </row>
    <row r="27" spans="1:8">
      <c r="A27" s="14" t="s">
        <v>201</v>
      </c>
      <c r="B27" s="26">
        <f>STDEV(D_WAKEMIN)</f>
        <v>18.224786888818496</v>
      </c>
    </row>
    <row r="28" spans="1:8">
      <c r="A28" s="14" t="s">
        <v>202</v>
      </c>
      <c r="B28" s="27">
        <f>B26/1440</f>
        <v>0.2762896825396825</v>
      </c>
    </row>
    <row r="29" spans="1:8">
      <c r="A29" s="14" t="s">
        <v>203</v>
      </c>
      <c r="B29" s="26">
        <f>NR_TARGET_SLEEP_HR*60/(NR_TARGET_SE/100)</f>
        <v>494.11764705882354</v>
      </c>
    </row>
    <row r="30" spans="1:8">
      <c r="A30" s="14" t="s">
        <v>204</v>
      </c>
      <c r="B30" s="26">
        <f>B26-B29</f>
        <v>-96.260504201680703</v>
      </c>
    </row>
    <row r="31" spans="1:8">
      <c r="A31" s="14" t="s">
        <v>205</v>
      </c>
      <c r="B31" s="27">
        <f>IF(B30&lt;0,1+(B30/1440),B30/1440)</f>
        <v>0.93315242763772177</v>
      </c>
    </row>
    <row r="32" spans="1:8">
      <c r="A32" s="14" t="s">
        <v>206</v>
      </c>
      <c r="B32" s="26" t="str">
        <f>IF(B24&lt;=NR_BEDSD_REF,"참고범위 안","참고범위 초과 (불규칙)")</f>
        <v>참고범위 초과 (불규칙)</v>
      </c>
    </row>
    <row r="33" spans="1:8">
      <c r="A33" s="14" t="s">
        <v>207</v>
      </c>
      <c r="B33" s="26" t="str">
        <f>IF(B27&lt;=NR_WAKESD_REF,"참고범위 안","참고범위 초과 (불규칙)")</f>
        <v>참고범위 안</v>
      </c>
    </row>
    <row r="35" spans="1:8" ht="19.5" customHeight="1">
      <c r="A35" s="43" t="s">
        <v>208</v>
      </c>
      <c r="B35" s="43"/>
      <c r="C35" s="43"/>
      <c r="D35" s="43"/>
      <c r="E35" s="43"/>
      <c r="F35" s="43"/>
      <c r="G35" s="43"/>
      <c r="H35" s="43"/>
    </row>
    <row r="36" spans="1:8">
      <c r="A36" s="12" t="s">
        <v>209</v>
      </c>
      <c r="B36" s="28">
        <f>IFERROR(CORREL(D_SOL,D_SE),"")</f>
        <v>-0.9673202614379085</v>
      </c>
    </row>
    <row r="37" spans="1:8">
      <c r="A37" s="12" t="s">
        <v>210</v>
      </c>
      <c r="B37" s="28">
        <f>IFERROR(CORREL(D_ACT,D_SOL),"")</f>
        <v>-0.9731877662508418</v>
      </c>
    </row>
    <row r="38" spans="1:8">
      <c r="A38" s="12" t="s">
        <v>211</v>
      </c>
      <c r="B38" s="28">
        <f>IFERROR(CORREL(D_ACT,D_SE),"")</f>
        <v>0.95615504480492408</v>
      </c>
    </row>
    <row r="39" spans="1:8">
      <c r="A39" s="12" t="s">
        <v>212</v>
      </c>
      <c r="B39" s="28">
        <f>IFERROR(CORREL(D_HR,D_RR),"")</f>
        <v>0.98853360947840496</v>
      </c>
    </row>
    <row r="40" spans="1:8">
      <c r="A40" s="12" t="s">
        <v>213</v>
      </c>
      <c r="B40" s="28">
        <f>IFERROR(CORREL(D_HR,D_SPO2),"")</f>
        <v>-0.9885336094784053</v>
      </c>
    </row>
    <row r="41" spans="1:8">
      <c r="A41" s="12" t="s">
        <v>214</v>
      </c>
      <c r="B41" s="28">
        <f>IFERROR(CORREL(D_RR,D_SPO2),"")</f>
        <v>-1.0000000000000002</v>
      </c>
    </row>
    <row r="42" spans="1:8">
      <c r="A42" s="12" t="s">
        <v>215</v>
      </c>
      <c r="B42" s="28">
        <f>IFERROR(CORREL(D_ACT,D_KCAL_DEVICE),"")</f>
        <v>0.99797337450429024</v>
      </c>
    </row>
    <row r="43" spans="1:8">
      <c r="A43" s="12" t="s">
        <v>216</v>
      </c>
      <c r="B43" s="28">
        <f>IFERROR(IFERROR(CORREL(S4_Calc_Daily!$H$5:$H$10,S4_Calc_Daily!$U$6:$U$11),""),"")</f>
        <v>-0.13185182767312936</v>
      </c>
    </row>
    <row r="44" spans="1:8">
      <c r="A44" s="12" t="s">
        <v>217</v>
      </c>
      <c r="B44" s="28">
        <f>IFERROR(CORREL(D_AWAKE,D_AVGDUR),"")</f>
        <v>-0.65549894476189308</v>
      </c>
    </row>
    <row r="45" spans="1:8">
      <c r="A45" s="12" t="s">
        <v>218</v>
      </c>
      <c r="B45" s="28">
        <f>IFERROR(CORREL(D_AVGDUR,D_SE),"")</f>
        <v>0.41359423800332884</v>
      </c>
    </row>
    <row r="46" spans="1:8">
      <c r="A46" s="12" t="s">
        <v>219</v>
      </c>
      <c r="B46" s="28">
        <f>IFERROR(CORREL(D_AVGDUR,D_TST),"")</f>
        <v>0.79692472888740506</v>
      </c>
    </row>
    <row r="47" spans="1:8">
      <c r="A47" s="14" t="s">
        <v>220</v>
      </c>
      <c r="B47" s="28">
        <f>IFERROR(SLOPE(D_SE,D_ACT),"")</f>
        <v>0.45304475421863533</v>
      </c>
    </row>
    <row r="48" spans="1:8">
      <c r="A48" s="14" t="s">
        <v>221</v>
      </c>
      <c r="B48" s="29">
        <f>IFERROR(B47*10,"")</f>
        <v>4.5304475421863533</v>
      </c>
    </row>
    <row r="49" spans="1:8">
      <c r="A49" s="14" t="s">
        <v>222</v>
      </c>
      <c r="B49" s="28">
        <f>IFERROR(SLOPE(D_TST,D_ACT),"")</f>
        <v>3.0378760088041084</v>
      </c>
    </row>
    <row r="50" spans="1:8">
      <c r="A50" s="14" t="s">
        <v>223</v>
      </c>
      <c r="B50" s="29">
        <f>IFERROR(B49*10,"")</f>
        <v>30.378760088041084</v>
      </c>
    </row>
    <row r="52" spans="1:8" ht="19.5" customHeight="1">
      <c r="A52" s="43" t="s">
        <v>224</v>
      </c>
      <c r="B52" s="43"/>
      <c r="C52" s="43"/>
      <c r="D52" s="43"/>
      <c r="E52" s="43"/>
      <c r="F52" s="43"/>
      <c r="G52" s="43"/>
      <c r="H52" s="43"/>
    </row>
    <row r="53" spans="1:8" ht="30" customHeight="1">
      <c r="A53" s="1" t="s">
        <v>225</v>
      </c>
      <c r="B53" s="1" t="s">
        <v>226</v>
      </c>
      <c r="C53" s="1" t="s">
        <v>227</v>
      </c>
      <c r="D53" s="1" t="s">
        <v>228</v>
      </c>
      <c r="E53" s="1"/>
      <c r="F53" s="1"/>
      <c r="G53" s="1"/>
      <c r="H53" s="1"/>
    </row>
    <row r="54" spans="1:8">
      <c r="A54" s="14" t="s">
        <v>229</v>
      </c>
      <c r="B54" s="26">
        <f>COUNTIF(D_BUCKET,"저활동")</f>
        <v>3</v>
      </c>
      <c r="C54" s="29">
        <f>IFERROR(AVERAGEIF(D_BUCKET,"저활동",D_SE),"")</f>
        <v>68.333333333333329</v>
      </c>
      <c r="D54" s="30">
        <f>IFERROR(AVERAGEIF(D_BUCKET,"저활동",D_TST),"")</f>
        <v>259</v>
      </c>
    </row>
    <row r="55" spans="1:8">
      <c r="A55" s="14" t="s">
        <v>230</v>
      </c>
      <c r="B55" s="26">
        <f>COUNTIF(D_BUCKET,"중활동")</f>
        <v>2</v>
      </c>
      <c r="C55" s="29">
        <f>IFERROR(AVERAGEIF(D_BUCKET,"중활동",D_SE),"")</f>
        <v>78.5</v>
      </c>
      <c r="D55" s="30">
        <f>IFERROR(AVERAGEIF(D_BUCKET,"중활동",D_TST),"")</f>
        <v>316.5</v>
      </c>
    </row>
    <row r="56" spans="1:8">
      <c r="A56" s="14" t="s">
        <v>231</v>
      </c>
      <c r="B56" s="26">
        <f>COUNTIF(D_BUCKET,"고활동")</f>
        <v>2</v>
      </c>
      <c r="C56" s="29">
        <f>IFERROR(AVERAGEIF(D_BUCKET,"고활동",D_SE),"")</f>
        <v>83.5</v>
      </c>
      <c r="D56" s="30">
        <f>IFERROR(AVERAGEIF(D_BUCKET,"고활동",D_TST),"")</f>
        <v>347.5</v>
      </c>
    </row>
    <row r="58" spans="1:8" ht="19.5" customHeight="1">
      <c r="A58" s="43" t="s">
        <v>232</v>
      </c>
      <c r="B58" s="43"/>
      <c r="C58" s="43"/>
      <c r="D58" s="43"/>
      <c r="E58" s="43"/>
      <c r="F58" s="43"/>
      <c r="G58" s="43"/>
      <c r="H58" s="43"/>
    </row>
    <row r="59" spans="1:8" ht="30" customHeight="1">
      <c r="A59" s="1" t="s">
        <v>233</v>
      </c>
      <c r="B59" s="1" t="s">
        <v>36</v>
      </c>
      <c r="C59" s="1" t="s">
        <v>234</v>
      </c>
      <c r="D59" s="1" t="s">
        <v>235</v>
      </c>
      <c r="E59" s="1" t="s">
        <v>236</v>
      </c>
      <c r="F59" s="1"/>
      <c r="G59" s="1"/>
      <c r="H59" s="1"/>
    </row>
    <row r="60" spans="1:8">
      <c r="A60" s="12" t="s">
        <v>237</v>
      </c>
      <c r="B60" s="26" t="str">
        <f>G6</f>
        <v>토</v>
      </c>
      <c r="C60" s="29">
        <f>IFERROR(INDEX(D_DEEP_PCT,MATCH(B60,D_LABEL,0)),"")</f>
        <v>22</v>
      </c>
      <c r="D60" s="29">
        <f>IFERROR(INDEX(D_LIGHT_PCT,MATCH(B60,D_LABEL,0)),"")</f>
        <v>48</v>
      </c>
      <c r="E60" s="29">
        <f>IFERROR(INDEX(D_REM_PCT,MATCH(B60,D_LABEL,0)),"")</f>
        <v>30</v>
      </c>
    </row>
    <row r="61" spans="1:8">
      <c r="A61" s="12" t="s">
        <v>238</v>
      </c>
      <c r="B61" s="26" t="str">
        <f>H6</f>
        <v>금</v>
      </c>
      <c r="C61" s="29">
        <f>IFERROR(INDEX(D_DEEP_PCT,MATCH(B61,D_LABEL,0)),"")</f>
        <v>8.8785046728971952</v>
      </c>
      <c r="D61" s="29">
        <f>IFERROR(INDEX(D_LIGHT_PCT,MATCH(B61,D_LABEL,0)),"")</f>
        <v>65.887850467289724</v>
      </c>
      <c r="E61" s="29">
        <f>IFERROR(INDEX(D_REM_PCT,MATCH(B61,D_LABEL,0)),"")</f>
        <v>25.233644859813083</v>
      </c>
    </row>
    <row r="63" spans="1:8" ht="19.5" customHeight="1">
      <c r="A63" s="43" t="s">
        <v>239</v>
      </c>
      <c r="B63" s="43"/>
      <c r="C63" s="43"/>
      <c r="D63" s="43"/>
      <c r="E63" s="43"/>
      <c r="F63" s="43"/>
      <c r="G63" s="43"/>
      <c r="H63" s="43"/>
    </row>
    <row r="64" spans="1:8" ht="30" customHeight="1">
      <c r="A64" s="1" t="s">
        <v>233</v>
      </c>
      <c r="B64" s="1" t="s">
        <v>36</v>
      </c>
      <c r="C64" s="1" t="s">
        <v>240</v>
      </c>
      <c r="D64" s="1" t="s">
        <v>38</v>
      </c>
      <c r="E64" s="1" t="s">
        <v>39</v>
      </c>
      <c r="F64" s="1"/>
      <c r="G64" s="1"/>
      <c r="H64" s="1"/>
    </row>
    <row r="65" spans="1:8">
      <c r="A65" s="14" t="s">
        <v>241</v>
      </c>
      <c r="B65" s="26" t="str">
        <f>G7</f>
        <v>수</v>
      </c>
      <c r="C65" s="29">
        <f>D7</f>
        <v>84</v>
      </c>
      <c r="D65" s="27">
        <f>IFERROR(IF(INDEX(D_BEDMIN,MATCH(B65,D_LABEL,0))&lt;0,1+(INDEX(D_BEDMIN,MATCH(B65,D_LABEL,0))/1440),INDEX(D_BEDMIN,MATCH(B65,D_LABEL,0))/1440),"")</f>
        <v>1.3888888888888902E-2</v>
      </c>
      <c r="E65" s="27">
        <f>IFERROR(INDEX(S1_Input_Raw!$D$5:$D$11,MATCH(B65,D_LABEL,0)),"")</f>
        <v>0.26041666666666702</v>
      </c>
    </row>
    <row r="66" spans="1:8">
      <c r="A66" s="14" t="s">
        <v>242</v>
      </c>
      <c r="B66" s="26" t="str">
        <f>H7</f>
        <v>목</v>
      </c>
      <c r="C66" s="29">
        <f>C7</f>
        <v>65</v>
      </c>
      <c r="D66" s="27">
        <f>IFERROR(IF(INDEX(D_BEDMIN,MATCH(B66,D_LABEL,0))&lt;0,1+(INDEX(D_BEDMIN,MATCH(B66,D_LABEL,0))/1440),INDEX(D_BEDMIN,MATCH(B66,D_LABEL,0))/1440),"")</f>
        <v>2.4305555555555601E-2</v>
      </c>
      <c r="E66" s="27">
        <f>IFERROR(INDEX(S1_Input_Raw!$D$5:$D$11,MATCH(B66,D_LABEL,0)),"")</f>
        <v>0.28125</v>
      </c>
    </row>
    <row r="68" spans="1:8" ht="19.5" customHeight="1">
      <c r="A68" s="43" t="s">
        <v>243</v>
      </c>
      <c r="B68" s="43"/>
      <c r="C68" s="43"/>
      <c r="D68" s="43"/>
      <c r="E68" s="43"/>
      <c r="F68" s="43"/>
      <c r="G68" s="43"/>
      <c r="H68" s="43"/>
    </row>
    <row r="69" spans="1:8">
      <c r="A69" s="14" t="s">
        <v>244</v>
      </c>
      <c r="B69" s="26">
        <f>COUNTIF(D_ANOMALY,TRUE())</f>
        <v>1</v>
      </c>
    </row>
    <row r="70" spans="1:8">
      <c r="A70" s="14" t="s">
        <v>245</v>
      </c>
      <c r="B70" s="26" t="str">
        <f>TRIM(IF(S4_Calc_Daily!$AE$5,S4_Calc_Daily!$A$5&amp;" ","")&amp;IF(S4_Calc_Daily!$AE$6,S4_Calc_Daily!$A$6&amp;" ","")&amp;IF(S4_Calc_Daily!$AE$7,S4_Calc_Daily!$A$7&amp;" ","")&amp;IF(S4_Calc_Daily!$AE$8,S4_Calc_Daily!$A$8&amp;" ","")&amp;IF(S4_Calc_Daily!$AE$9,S4_Calc_Daily!$A$9&amp;" ","")&amp;IF(S4_Calc_Daily!$AE$10,S4_Calc_Daily!$A$10&amp;" ","")&amp;IF(S4_Calc_Daily!$AE$11,S4_Calc_Daily!$A$11&amp;" ",""))</f>
        <v>금</v>
      </c>
    </row>
    <row r="71" spans="1:8">
      <c r="A71" s="14" t="s">
        <v>246</v>
      </c>
      <c r="B71" s="26" t="str">
        <f>IF(OR(D_MULTI),"예","아니오")</f>
        <v>예</v>
      </c>
    </row>
    <row r="73" spans="1:8" ht="19.5" customHeight="1">
      <c r="A73" s="43" t="s">
        <v>247</v>
      </c>
      <c r="B73" s="43"/>
      <c r="C73" s="43"/>
      <c r="D73" s="43"/>
      <c r="E73" s="43"/>
      <c r="F73" s="43"/>
      <c r="G73" s="43"/>
      <c r="H73" s="43"/>
    </row>
    <row r="74" spans="1:8">
      <c r="A74" s="12" t="s">
        <v>248</v>
      </c>
      <c r="B74" s="29">
        <f>NR_BMI</f>
        <v>22.10028959000152</v>
      </c>
    </row>
    <row r="75" spans="1:8">
      <c r="A75" s="14" t="s">
        <v>249</v>
      </c>
      <c r="B75" s="31">
        <f>NR_BMR</f>
        <v>1206.5</v>
      </c>
    </row>
    <row r="76" spans="1:8">
      <c r="A76" s="14" t="s">
        <v>250</v>
      </c>
      <c r="B76" s="31">
        <f>IFERROR(AVERAGE(D_TDEE),"")</f>
        <v>1367.16</v>
      </c>
    </row>
    <row r="77" spans="1:8">
      <c r="A77" s="14" t="s">
        <v>251</v>
      </c>
      <c r="B77" s="32">
        <f>IFERROR(B14-B76,"")</f>
        <v>264.26857142857125</v>
      </c>
    </row>
    <row r="79" spans="1:8" ht="19.5" customHeight="1">
      <c r="A79" s="43" t="s">
        <v>252</v>
      </c>
      <c r="B79" s="43"/>
      <c r="C79" s="43"/>
      <c r="D79" s="43"/>
      <c r="E79" s="43"/>
      <c r="F79" s="43"/>
      <c r="G79" s="43"/>
      <c r="H79" s="43"/>
    </row>
    <row r="80" spans="1:8">
      <c r="A80" s="14" t="s">
        <v>253</v>
      </c>
      <c r="B80" s="33">
        <f>IFERROR(AVERAGE(D_WASO_QA),"")</f>
        <v>0.57142857142858772</v>
      </c>
    </row>
    <row r="82" spans="1:8" ht="19.5" customHeight="1">
      <c r="A82" s="43" t="s">
        <v>254</v>
      </c>
      <c r="B82" s="43"/>
      <c r="C82" s="43"/>
      <c r="D82" s="43"/>
      <c r="E82" s="43"/>
      <c r="F82" s="43"/>
      <c r="G82" s="43"/>
      <c r="H82" s="43"/>
    </row>
    <row r="83" spans="1:8">
      <c r="A83" s="14" t="s">
        <v>255</v>
      </c>
      <c r="B83" s="30">
        <f>COUNT(D_TIB)</f>
        <v>7</v>
      </c>
    </row>
    <row r="84" spans="1:8">
      <c r="A84" s="14" t="s">
        <v>256</v>
      </c>
      <c r="B84" s="26" t="str">
        <f>TRIM(IF(S4_Calc_Daily!$AL$5="미모니터링",S4_Calc_Daily!$A$5&amp;" ","")&amp;IF(S4_Calc_Daily!$AL$6="미모니터링",S4_Calc_Daily!$A$6&amp;" ","")&amp;IF(S4_Calc_Daily!$AL$7="미모니터링",S4_Calc_Daily!$A$7&amp;" ","")&amp;IF(S4_Calc_Daily!$AL$8="미모니터링",S4_Calc_Daily!$A$8&amp;" ","")&amp;IF(S4_Calc_Daily!$AL$9="미모니터링",S4_Calc_Daily!$A$9&amp;" ","")&amp;IF(S4_Calc_Daily!$AL$10="미모니터링",S4_Calc_Daily!$A$10&amp;" ","")&amp;IF(S4_Calc_Daily!$AL$11="미모니터링",S4_Calc_Daily!$A$11&amp;" ",""))</f>
        <v/>
      </c>
    </row>
    <row r="85" spans="1:8">
      <c r="A85" s="12" t="s">
        <v>257</v>
      </c>
      <c r="B85" s="26" t="str">
        <f>TRIM(IF(S4_Calc_Daily!$AM$5&lt;&gt;"정상",IF(S4_Calc_Daily!$AL$5="모니터링됨",S4_Calc_Daily!$A$5&amp;" ",""),"")&amp;IF(S4_Calc_Daily!$AM$6&lt;&gt;"정상",IF(S4_Calc_Daily!$AL$6="모니터링됨",S4_Calc_Daily!$A$6&amp;" ",""),"")&amp;IF(S4_Calc_Daily!$AM$7&lt;&gt;"정상",IF(S4_Calc_Daily!$AL$7="모니터링됨",S4_Calc_Daily!$A$7&amp;" ",""),"")&amp;IF(S4_Calc_Daily!$AM$8&lt;&gt;"정상",IF(S4_Calc_Daily!$AL$8="모니터링됨",S4_Calc_Daily!$A$8&amp;" ",""),"")&amp;IF(S4_Calc_Daily!$AM$9&lt;&gt;"정상",IF(S4_Calc_Daily!$AL$9="모니터링됨",S4_Calc_Daily!$A$9&amp;" ",""),"")&amp;IF(S4_Calc_Daily!$AM$10&lt;&gt;"정상",IF(S4_Calc_Daily!$AL$10="모니터링됨",S4_Calc_Daily!$A$10&amp;" ",""),"")&amp;IF(S4_Calc_Daily!$AM$11&lt;&gt;"정상",IF(S4_Calc_Daily!$AL$11="모니터링됨",S4_Calc_Daily!$A$11&amp;" ",""),""))</f>
        <v/>
      </c>
    </row>
    <row r="87" spans="1:8" ht="19.5" customHeight="1">
      <c r="A87" s="43" t="s">
        <v>258</v>
      </c>
      <c r="B87" s="43"/>
      <c r="C87" s="43"/>
      <c r="D87" s="43"/>
      <c r="E87" s="43"/>
      <c r="F87" s="43"/>
      <c r="G87" s="43"/>
      <c r="H87" s="43"/>
    </row>
    <row r="88" spans="1:8">
      <c r="A88" s="14" t="s">
        <v>259</v>
      </c>
      <c r="B88" s="30">
        <f>COUNT(D_SE_DEVICE)</f>
        <v>7</v>
      </c>
    </row>
    <row r="89" spans="1:8">
      <c r="A89" s="14" t="s">
        <v>260</v>
      </c>
      <c r="B89" s="33">
        <f>IFERROR(AVERAGE(D_SE_DIFF),"")</f>
        <v>2.9373401009308231</v>
      </c>
    </row>
    <row r="90" spans="1:8">
      <c r="A90" s="14" t="s">
        <v>261</v>
      </c>
      <c r="B90" s="26" t="str">
        <f>TRIM(IF(S4_Calc_Daily!$AP$5="⚠ 차이 큼 — 취침·기상시각 자동감지 방식 차이일 수 있음",S4_Calc_Daily!$A$5&amp;" ","")&amp;IF(S4_Calc_Daily!$AP$6="⚠ 차이 큼 — 취침·기상시각 자동감지 방식 차이일 수 있음",S4_Calc_Daily!$A$6&amp;" ","")&amp;IF(S4_Calc_Daily!$AP$7="⚠ 차이 큼 — 취침·기상시각 자동감지 방식 차이일 수 있음",S4_Calc_Daily!$A$7&amp;" ","")&amp;IF(S4_Calc_Daily!$AP$8="⚠ 차이 큼 — 취침·기상시각 자동감지 방식 차이일 수 있음",S4_Calc_Daily!$A$8&amp;" ","")&amp;IF(S4_Calc_Daily!$AP$9="⚠ 차이 큼 — 취침·기상시각 자동감지 방식 차이일 수 있음",S4_Calc_Daily!$A$9&amp;" ","")&amp;IF(S4_Calc_Daily!$AP$10="⚠ 차이 큼 — 취침·기상시각 자동감지 방식 차이일 수 있음",S4_Calc_Daily!$A$10&amp;" ","")&amp;IF(S4_Calc_Daily!$AP$11="⚠ 차이 큼 — 취침·기상시각 자동감지 방식 차이일 수 있음",S4_Calc_Daily!$A$11&amp;" ",""))</f>
        <v>목</v>
      </c>
    </row>
  </sheetData>
  <mergeCells count="13">
    <mergeCell ref="A1:H1"/>
    <mergeCell ref="A2:H2"/>
    <mergeCell ref="A4:H4"/>
    <mergeCell ref="A22:H22"/>
    <mergeCell ref="A35:H35"/>
    <mergeCell ref="A79:H79"/>
    <mergeCell ref="A82:H82"/>
    <mergeCell ref="A87:H87"/>
    <mergeCell ref="A52:H52"/>
    <mergeCell ref="A58:H58"/>
    <mergeCell ref="A63:H63"/>
    <mergeCell ref="A68:H68"/>
    <mergeCell ref="A73:H7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A5236"/>
  </sheetPr>
  <dimension ref="A1:D22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7" customWidth="1"/>
    <col min="2" max="2" width="22" customWidth="1"/>
    <col min="3" max="3" width="70" customWidth="1"/>
    <col min="4" max="4" width="55" customWidth="1"/>
  </cols>
  <sheetData>
    <row r="1" spans="1:4" ht="25.5" customHeight="1">
      <c r="A1" s="40" t="s">
        <v>262</v>
      </c>
      <c r="B1" s="40"/>
      <c r="C1" s="40"/>
      <c r="D1" s="40"/>
    </row>
    <row r="2" spans="1:4" ht="15.75" customHeight="1">
      <c r="A2" s="42" t="s">
        <v>263</v>
      </c>
      <c r="B2" s="42"/>
      <c r="C2" s="42"/>
      <c r="D2" s="42"/>
    </row>
    <row r="4" spans="1:4" ht="30" customHeight="1">
      <c r="A4" s="1" t="s">
        <v>264</v>
      </c>
      <c r="B4" s="1" t="s">
        <v>265</v>
      </c>
      <c r="C4" s="1" t="s">
        <v>266</v>
      </c>
      <c r="D4" s="1" t="s">
        <v>267</v>
      </c>
    </row>
    <row r="5" spans="1:4" ht="109.5" customHeight="1">
      <c r="A5" s="3" t="s">
        <v>268</v>
      </c>
      <c r="B5" s="2" t="s">
        <v>269</v>
      </c>
      <c r="C5" s="34" t="str">
        <f>"이번 주 평균 총수면시간은 "&amp;TEXT(NR_TST_AVG,"0")&amp;"분("&amp;TEXT(INT(NR_TST_AVG/60),"0")&amp;"시간 "&amp;TEXT(MOD(NR_TST_AVG,60),"0")&amp;"분)으로, 목표(하루 "&amp;TEXT(NR_TST_TARGET/60,"0")&amp;"시간) 대비 "&amp;IF(NR_TST_AVG&gt;=NR_TST_TARGET,"충족했습니다.","부족했습니다.")&amp;" 총수면시간이 가장 길었던 "&amp;NR_TST_MAXDAY&amp;"요일은 깊은수면 "&amp;TEXT(NR_TST_MAXDAY_DEEP,"0.0")&amp;"%·렘수면 "&amp;TEXT(NR_TST_MAXDAY_REM,"0.0")&amp;"%로 이번 주 중 비중이 가장 높았고, 가장 짧았던 "&amp;NR_TST_MINDAY&amp;"요일은 얕은수면 비중이 "&amp;TEXT(NR_TST_MINDAY_LIGHT,"0.0")&amp;"%로 가장 높았습니다 — 오래 잘수록 깊은수면·렘수면 비중이 늘고 얕은수면 비중은 줄어드는 흐름이 있었습니다."</f>
        <v>이번 주 평균 총수면시간은 301분(5시간 1분)으로, 목표(하루 7시간) 대비 부족했습니다. 총수면시간이 가장 길었던 토요일은 깊은수면 22.0%·렘수면 30.0%로 이번 주 중 비중이 가장 높았고, 가장 짧았던 금요일은 얕은수면 비중이 65.9%로 가장 높았습니다 — 오래 잘수록 깊은수면·렘수면 비중이 늘고 얕은수면 비중은 줄어드는 흐름이 있었습니다.</v>
      </c>
      <c r="D5" s="34" t="str">
        <f>"목표 수면시간(하루 "&amp;TEXT(NR_TST_TARGET/60,"0")&amp;"시간, 주 "&amp;TEXT(NR_TST_TARGET*7/60,"0")&amp;"시간) 대비 이번 주 실제 총수면시간은 약 "&amp;TEXT(NR_TST_AVG*7/60,"0")&amp;"시간으로, 약 "&amp;TEXT(MAX(NR_TST_TARGET*7-NR_TST_AVG*7,0)/60,"0.0")&amp;"시간의 수면부채가 "&amp;IF(NR_TST_AVG&lt;NR_TST_TARGET,"누적되었습니다.","발생하지 않았습니다.")&amp;" 한 번에 몰아 자기보다 하루 20~30분씩 취침시각을 점진적으로 앞당겨 부족분을 줄여가는 것을 목표로 삼을 수 있습니다."</f>
        <v>목표 수면시간(하루 7시간, 주 49시간) 대비 이번 주 실제 총수면시간은 약 35시간으로, 약 13.9시간의 수면부채가 누적되었습니다. 한 번에 몰아 자기보다 하루 20~30분씩 취침시각을 점진적으로 앞당겨 부족분을 줄여가는 것을 목표로 삼을 수 있습니다.</v>
      </c>
    </row>
    <row r="6" spans="1:4" ht="109.5" customHeight="1">
      <c r="A6" s="3" t="s">
        <v>270</v>
      </c>
      <c r="B6" s="2" t="s">
        <v>271</v>
      </c>
      <c r="C6" s="34" t="str">
        <f>"이번 주 평균 수면효율은 "&amp;TEXT(NR_SE_AVG,"0")&amp;"%로 참고범위("&amp;TEXT(NR_SE_REF,"0")&amp;"% 이상) "&amp;IF(NR_SE_AVG&gt;=NR_SE_REF,"를 충족했습니다.","에 못 미쳤습니다.")&amp;" 요일별 최저치는 "&amp;TEXT(NR_SE_MIN,"0")&amp;"%("&amp;NR_SE_MINDAY&amp;"요일)까지 내려간 날이 있었습니다. 입면잠복기·각성횟수와 같은 계산식 안에서 함께 움직이는 이유는 7페이지를 확인하세요."&amp;IF(NR_SE_DEVICE_DAYS&gt;0," 이 수치는 웨어러블이 날짜별로 제공한 수면효율이 있으면 그 값을 그대로 반영하고, 제공되지 않은 날만 취침·기상시각 기준 계산값(총수면시간÷침상시간×100)으로 대신합니다.","")</f>
        <v>이번 주 평균 수면효율은 76%로 참고범위(85% 이상) 에 못 미쳤습니다. 요일별 최저치는 65%(목요일)까지 내려간 날이 있었습니다. 입면잠복기·각성횟수와 같은 계산식 안에서 함께 움직이는 이유는 7페이지를 확인하세요. 이 수치는 웨어러블이 날짜별로 제공한 수면효율이 있으면 그 값을 그대로 반영하고, 제공되지 않은 날만 취침·기상시각 기준 계산값(총수면시간÷침상시간×100)으로 대신합니다.</v>
      </c>
      <c r="D6" s="34" t="str">
        <f>"수면효율이 낮은 날이 이어질 때 일반적으로 권장되는 자극조절법입니다 — 잠자리에 누운 지 20분이 지나도 잠들지 않으면 잠시 일어나 있다가 졸릴 때 다시 눕고, 침대는 수면 외 용도로 사용하지 않습니다. 목표: "&amp;TEXT(NR_SE_REF,"0")&amp;"% 이상."</f>
        <v>수면효율이 낮은 날이 이어질 때 일반적으로 권장되는 자극조절법입니다 — 잠자리에 누운 지 20분이 지나도 잠들지 않으면 잠시 일어나 있다가 졸릴 때 다시 눕고, 침대는 수면 외 용도로 사용하지 않습니다. 목표: 85% 이상.</v>
      </c>
    </row>
    <row r="7" spans="1:4" ht="109.5" customHeight="1">
      <c r="A7" s="3" t="s">
        <v>272</v>
      </c>
      <c r="B7" s="2" t="s">
        <v>273</v>
      </c>
      <c r="C7" s="34" t="str">
        <f>"이번 주 평균 입면잠복기는 "&amp;TEXT(NR_SOL_AVG,"0")&amp;"분으로 참고범위("&amp;TEXT(NR_SOL_REF,"0")&amp;"분 이내) "&amp;IF(NR_SOL_AVG&lt;=NR_SOL_REF,"를 충족했습니다.","보다 길었습니다.")&amp;" 요일별 최댓값은 "&amp;TEXT(NR_SOL_MAX,"0")&amp;"분("&amp;NR_SOL_MAXDAY&amp;"요일)까지 늘어난 날이 있었습니다. 활동시간과 입면잠복기의 상관계수는 "&amp;TEXT(NR_R_ACT_SOL,"0.00")&amp;"로, 활동이 적을수록 입면잠복기가 길어지는 경향이 있었습니다."</f>
        <v>이번 주 평균 입면잠복기는 24분으로 참고범위(20분 이내) 보다 길었습니다. 요일별 최댓값은 34분(금요일)까지 늘어난 날이 있었습니다. 활동시간과 입면잠복기의 상관계수는 -0.97로, 활동이 적을수록 입면잠복기가 길어지는 경향이 있었습니다.</v>
      </c>
      <c r="D7" s="34" t="str">
        <f>"잠드는 데 걸리는 시간이 길게 느껴지는 날이 이어질 때 취침 30~60분 전부터 조명을 낮추고 화면 사용을 줄이는 것이 일반적으로 도움이 됩니다. 목표: "&amp;TEXT(NR_SOL_REF,"0")&amp;"분 이내."</f>
        <v>잠드는 데 걸리는 시간이 길게 느껴지는 날이 이어질 때 취침 30~60분 전부터 조명을 낮추고 화면 사용을 줄이는 것이 일반적으로 도움이 됩니다. 목표: 20분 이내.</v>
      </c>
    </row>
    <row r="8" spans="1:4" ht="109.5" customHeight="1">
      <c r="A8" s="3" t="s">
        <v>274</v>
      </c>
      <c r="B8" s="2" t="s">
        <v>91</v>
      </c>
      <c r="C8" s="34" t="str">
        <f>"이번 주 평균 각성횟수는 "&amp;TEXT(NR_AWAKE_AVG,"0.0")&amp;"회로 참고범위("&amp;TEXT(NR_AWAKE_REF,"0")&amp;"회 이하) "&amp;IF(NR_AWAKE_AVG&lt;=NR_AWAKE_REF,"를 충족했습니다.","를 넘었습니다.")&amp;" 각성횟수가 가장 많았던 "&amp;NR_AWAKE_MAXDAY&amp;"요일은 "&amp;IF(IFERROR(INDEX(D_SOL,MATCH(NR_AWAKE_MAXDAY,D_LABEL,0)),0)&gt;NR_SOL_AVG,"입면잠복기도 평균보다 길어 함께 나빠지는 경향이 있었습니다.","입면잠복기는 평균과 비슷한 수준이었습니다.")</f>
        <v>이번 주 평균 각성횟수는 2.7회로 참고범위(2회 이하) 를 넘었습니다. 각성횟수가 가장 많았던 금요일은 입면잠복기도 평균보다 길어 함께 나빠지는 경향이 있었습니다.</v>
      </c>
      <c r="D8" s="34" t="str">
        <f>"밤사이 깨는 횟수가 많은 날이 이어질 때 카페인·알코올 섭취 시각을 취침 6시간 이전으로 당기고, 깼을 때 시계를 보지 않는 것이 재입면에 도움이 됩니다. 목표: "&amp;TEXT(NR_AWAKE_REF,"0")&amp;"회 이하."</f>
        <v>밤사이 깨는 횟수가 많은 날이 이어질 때 카페인·알코올 섭취 시각을 취침 6시간 이전으로 당기고, 깼을 때 시계를 보지 않는 것이 재입면에 도움이 됩니다. 목표: 2회 이하.</v>
      </c>
    </row>
    <row r="9" spans="1:4" ht="109.5" customHeight="1">
      <c r="A9" s="3" t="s">
        <v>275</v>
      </c>
      <c r="B9" s="2" t="s">
        <v>276</v>
      </c>
      <c r="C9" s="34" t="str">
        <f>"이번 주 "&amp;COUNTIF(D_TYPE,"복합형*")&amp;"일은 입면잠복기·각성횟수·수면효율이 모두 함께 나빠진 복합형 밤이었고, "&amp;COUNTIF(D_TYPE,"자주깨어남형")&amp;"일은 입면잠복기는 정상이지만 각성횟수만 높은 자주깨어남형, "&amp;COUNTIF(D_TYPE,"잠들기어려움형")&amp;"일은 각성횟수는 정상이지만 입면잠복기만 긴 잠들기어려움형이었습니다. 활동시간과 입면잠복기(r="&amp;TEXT(NR_R_ACT_SOL,"0.00")&amp;"), 활동시간과 수면효율(r="&amp;TEXT(NR_R_ACT_SE,"0.00")&amp;") 모두 강한 상관을 보였습니다."</f>
        <v>이번 주 3일은 입면잠복기·각성횟수·수면효율이 모두 함께 나빠진 복합형 밤이었고, 1일은 입면잠복기는 정상이지만 각성횟수만 높은 자주깨어남형, 0일은 각성횟수는 정상이지만 입면잠복기만 긴 잠들기어려움형이었습니다. 활동시간과 입면잠복기(r=-0.97), 활동시간과 수면효율(r=0.96) 모두 강한 상관을 보였습니다.</v>
      </c>
      <c r="D9" s="34" t="str">
        <f>"입면잠복기·각성횟수가 함께 높은 날은 05페이지의 이완 루틴으로 「잠들기 어려움」에 먼저 대응하고, 입면잠복기는 정상인데 각성횟수만 높은 날은 06페이지의 각성 유발 요인 조정을 먼저 살펴보는 것이 더 효율적입니다."</f>
        <v>입면잠복기·각성횟수가 함께 높은 날은 05페이지의 이완 루틴으로 「잠들기 어려움」에 먼저 대응하고, 입면잠복기는 정상인데 각성횟수만 높은 날은 06페이지의 각성 유발 요인 조정을 먼저 살펴보는 것이 더 효율적입니다.</v>
      </c>
    </row>
    <row r="10" spans="1:4" ht="109.5" customHeight="1">
      <c r="A10" s="3" t="s">
        <v>277</v>
      </c>
      <c r="B10" s="2" t="s">
        <v>278</v>
      </c>
      <c r="C10" s="34" t="str">
        <f>"주간 평균 심박수는 "&amp;TEXT(NR_HR_AVG,"0")&amp;"bpm으로 참고범위("&amp;TEXT(NR_HR_REF_MIN,"0")&amp;"~"&amp;TEXT(NR_HR_REF_MAX,"0")&amp;"bpm) "&amp;IF(AND(NR_HR_AVG&gt;=NR_HR_REF_MIN,NR_HR_AVG&lt;=NR_HR_REF_MAX),"안에 있습니다.","을 벗어났습니다.")&amp;" 요일별 최댓값("&amp;TEXT(NR_HR_MAX,"0")&amp;"bpm, "&amp;NR_HR_MAXDAY&amp;"요일)은 "&amp;IF(NR_HR_MAX&gt;NR_HR_REF_MAX,"참고범위 상단을 넘겼습니다.","참고범위 안이었습니다.")&amp;" 호흡수·SpO2와 함께 흔들리는 날이 반복되는지는 17페이지에서 별도로 확인합니다."</f>
        <v>주간 평균 심박수는 60bpm으로 참고범위(45~70bpm) 안에 있습니다. 요일별 최댓값(71bpm, 금요일)은 참고범위 상단을 넘겼습니다. 호흡수·SpO2와 함께 흔들리는 날이 반복되는지는 17페이지에서 별도로 확인합니다.</v>
      </c>
      <c r="D10" s="34" t="str">
        <f>"수면 중 심박수는 대체로 참고범위 안에서 움직였습니다. 특별한 조정보다 현재 패턴을 유지하며 관찰을 지속하는 것을 권장합니다."</f>
        <v>수면 중 심박수는 대체로 참고범위 안에서 움직였습니다. 특별한 조정보다 현재 패턴을 유지하며 관찰을 지속하는 것을 권장합니다.</v>
      </c>
    </row>
    <row r="11" spans="1:4" ht="109.5" customHeight="1">
      <c r="A11" s="3" t="s">
        <v>279</v>
      </c>
      <c r="B11" s="2" t="s">
        <v>280</v>
      </c>
      <c r="C11" s="34" t="str">
        <f>"주간 평균 호흡수는 "&amp;TEXT(NR_RR_AVG,"0")&amp;"회/분으로 참고범위("&amp;TEXT(NR_RR_REF_MIN,"0")&amp;"~"&amp;TEXT(NR_RR_REF_MAX,"0")&amp;"회/분) "&amp;IF(AND(NR_RR_AVG&gt;=NR_RR_REF_MIN,NR_RR_AVG&lt;=NR_RR_REF_MAX),"안에 있습니다.","을 벗어났습니다.")&amp;" 요일별 최댓값("&amp;TEXT(NR_RR_MAX,"0")&amp;"회/분, "&amp;NR_RR_MAXDAY&amp;"요일)은 이번 주 중 가장 높았던 날입니다. 심박수(r="&amp;TEXT(NR_R_HR_RR,"0.00")&amp;")·SpO2(r="&amp;TEXT(NR_R_RR_SPO2,"0.00")&amp;")와 함께 흔들리는 경향이 반복되는지는 17페이지에서 다룹니다."</f>
        <v>주간 평균 호흡수는 16회/분으로 참고범위(12~20회/분) 안에 있습니다. 요일별 최댓값(19회/분, 금요일)은 이번 주 중 가장 높았던 날입니다. 심박수(r=0.99)·SpO2(r=-1.00)와 함께 흔들리는 경향이 반복되는지는 17페이지에서 다룹니다.</v>
      </c>
      <c r="D11" s="34" t="str">
        <f>"호흡수는 대체로 참고범위 안에서 움직였습니다. 특별한 조정보다 현재 패턴을 유지하며 관찰을 지속하는 것을 권장합니다."</f>
        <v>호흡수는 대체로 참고범위 안에서 움직였습니다. 특별한 조정보다 현재 패턴을 유지하며 관찰을 지속하는 것을 권장합니다.</v>
      </c>
    </row>
    <row r="12" spans="1:4" ht="109.5" customHeight="1">
      <c r="A12" s="3" t="s">
        <v>281</v>
      </c>
      <c r="B12" s="3" t="s">
        <v>100</v>
      </c>
      <c r="C12" s="34" t="str">
        <f>"주간 평균 SpO2는 "&amp;TEXT(NR_SPO2_AVG,"0")&amp;"%로 참고범위("&amp;TEXT(NR_SPO2_REF,"0")&amp;"% 이상) "&amp;IF(NR_SPO2_AVG&gt;=NR_SPO2_REF,"안에 있습니다.","에 못 미쳤습니다.")&amp;" 요일별 최솟값("&amp;TEXT(NR_SPO2_MIN,"0")&amp;"%, "&amp;NR_SPO2_MINDAY&amp;"요일)은 "&amp;IF(NR_SPO2_MIN&lt;NR_SPO2_REF,"참고범위 아래로 내려간 날이었습니다.","참고범위 안이었습니다.")&amp;" 호흡수와의 상관계수는 "&amp;TEXT(NR_R_RR_SPO2,"0.00")&amp;"로 매우 강한 음의 상관을 보였습니다."</f>
        <v>주간 평균 SpO2는 96%로 참고범위(95% 이상) 안에 있습니다. 요일별 최솟값(93%, 금요일)은 참고범위 아래로 내려간 날이었습니다. 호흡수와의 상관계수는 -1.00로 매우 강한 음의 상관을 보였습니다.</v>
      </c>
      <c r="D12" s="34" t="str">
        <f>"SpO2 평균은 참고범위 안에 있으나 주간 편차가 존재합니다. 참고범위 내에서도 편차가 반복되는지 지속 관찰을 권장합니다."</f>
        <v>SpO2 평균은 참고범위 안에 있으나 주간 편차가 존재합니다. 참고범위 내에서도 편차가 반복되는지 지속 관찰을 권장합니다.</v>
      </c>
    </row>
    <row r="13" spans="1:4" ht="109.5" customHeight="1">
      <c r="A13" s="3" t="s">
        <v>282</v>
      </c>
      <c r="B13" s="2" t="s">
        <v>283</v>
      </c>
      <c r="C13" s="34" t="str">
        <f>"취침시각은 평균 "&amp;TEXT(NR_BED_AVG_DISP,"HH:MM")&amp;", 요일 간 편차 ±"&amp;TEXT(NR_BEDSD,"0")&amp;"분으로 참고범위(20분 이내) "&amp;NR_BED_VERDICT&amp;"이며, 기상시각은 평균 "&amp;TEXT(NR_WAKE_AVG_DISP,"HH:MM")&amp;", 편차 ±"&amp;TEXT(NR_WAKESD,"0")&amp;"분으로 "&amp;NR_WAKE_VERDICT&amp;"입니다. "&amp;IF(AND(NR_BEDSD&gt;NR_BEDSD_REF,NR_WAKESD&lt;=NR_WAKESD_REF),"이는 「몇 시에 일어나는지」보다 「몇 시에 잠자리에 드는지」가 먼저 흔들리고 있다는 뜻으로 읽을 수 있습니다.",IF(AND(NR_WAKESD&gt;NR_WAKESD_REF,NR_BEDSD&lt;=NR_BEDSD_REF),"이는 취침시각보다 기상시각이 먼저 흔들리고 있다는 뜻으로 읽을 수 있습니다.",IF(AND(NR_BEDSD&gt;NR_BEDSD_REF,NR_WAKESD&gt;NR_WAKESD_REF),"취침·기상시각 모두 불규칙한 편으로, 두 시각을 함께 고정하는 것이 우선 과제입니다.","취침·기상시각 모두 비교적 규칙적으로 유지되었습니다.")))</f>
        <v>취침시각은 평균 00:17, 요일 간 편차 ±35분으로 참고범위(20분 이내) 참고범위 초과 (불규칙)이며, 기상시각은 평균 06:37, 편차 ±18분으로 참고범위 안입니다. 이는 「몇 시에 일어나는지」보다 「몇 시에 잠자리에 드는지」가 먼저 흔들리고 있다는 뜻으로 읽을 수 있습니다.</v>
      </c>
      <c r="D13" s="34" t="str">
        <f>"평균 기상시각("&amp;TEXT(NR_WAKE_AVG_DISP,"HH:MM")&amp;")을 고정점으로 목표 수면시간 "&amp;TEXT(NR_TARGET_SLEEP_HR,"0")&amp;"시간, 목표 수면효율 "&amp;TEXT(NR_TARGET_SE,"0")&amp;"%를 반영해 역산하면 권장 취침시각은 약 "&amp;TEXT(NR_TARGET_BED_DISP,"HH:MM")&amp;"입니다. 현재 평균 취침시각("&amp;TEXT(NR_BED_AVG_DISP,"HH:MM")&amp;")과 차이가 있다면, 하루 15~20분씩 점진적으로 앞당기는 방식을 권장합니다."</f>
        <v>평균 기상시각(06:37)을 고정점으로 목표 수면시간 7시간, 목표 수면효율 85%를 반영해 역산하면 권장 취침시각은 약 22:23입니다. 현재 평균 취침시각(00:17)과 차이가 있다면, 하루 15~20분씩 점진적으로 앞당기는 방식을 권장합니다.</v>
      </c>
    </row>
    <row r="14" spans="1:4" ht="109.5" customHeight="1">
      <c r="A14" s="3" t="s">
        <v>284</v>
      </c>
      <c r="B14" s="2" t="s">
        <v>285</v>
      </c>
      <c r="C14" s="34" t="str">
        <f>"이번 주 합계 활동시간은 약 "&amp;TEXT(NR_ACT_AVG*7,"0")&amp;"분으로 주간 권장기준("&amp;TEXT(NR_ACT_WEEKLY_REF,"0")&amp;"분) "&amp;IF(NR_ACT_AVG*7&gt;=NR_ACT_WEEKLY_REF,"을 넘겼습니다.","에 못 미쳤습니다.")&amp;" 요일별 최저 "&amp;TEXT(NR_ACT_MIN,"0")&amp;"분~최고 "&amp;TEXT(NR_ACT_MAX,"0")&amp;"분으로 편차(범위 "&amp;TEXT(NR_ACT_RANGE,"0")&amp;"분)가 "&amp;IF(NR_ACT_RANGE&gt;NR_ACT_AVG,"큰 편이며, 활동이 특정 요일("&amp;NR_ACT_MAXDAY&amp;")에 몰려 있는 경향이 있습니다.","비교적 고른 편입니다.")</f>
        <v>이번 주 합계 활동시간은 약 277분으로 주간 권장기준(150분) 을 넘겼습니다. 요일별 최저 18분~최고 62분으로 편차(범위 44분)가 큰 편이며, 활동이 특정 요일(토)에 몰려 있는 경향이 있습니다.</v>
      </c>
      <c r="D14" s="34" t="str">
        <f>"주간 총 활동량이 충분한 수준이라면 양을 더 늘리기보다, 매일 비슷한 시간대에 짧게라도 걷는 방식으로 요일별 편차를 줄이는 것을 목표로 삼아볼 수 있습니다. 활동과 수면효율의 관계는 7페이지에서 함께 살펴봅니다."</f>
        <v>주간 총 활동량이 충분한 수준이라면 양을 더 늘리기보다, 매일 비슷한 시간대에 짧게라도 걷는 방식으로 요일별 편차를 줄이는 것을 목표로 삼아볼 수 있습니다. 활동과 수면효율의 관계는 7페이지에서 함께 살펴봅니다.</v>
      </c>
    </row>
    <row r="15" spans="1:4" ht="109.5" customHeight="1">
      <c r="A15" s="3" t="s">
        <v>286</v>
      </c>
      <c r="B15" s="2" t="s">
        <v>287</v>
      </c>
      <c r="C15" s="34" t="str">
        <f>"칼로리 소모량은 활동시간이 많았던 날 함께 "&amp;IF(NR_R_ACT_KCAL&gt;0,"높아지는","낮아지는")&amp;" 경향을 보였습니다(상관계수 r="&amp;TEXT(NR_R_ACT_KCAL,"0.00")&amp;"). 절대값보다 활동량과 같은 방향으로 움직이는지가 이 지표를 읽는 더 유용한 방법입니다. 참고로 체중 "&amp;TEXT(NR_WEIGHT,"0")&amp;"kg·키 "&amp;TEXT(NR_HEIGHT,"0")&amp;"cm·나이 "&amp;TEXT(NR_AGE,"0")&amp;"세 기준 추정 기초대사량(BMR)은 약 "&amp;TEXT(NR_BMR,"#,##0")&amp;"kcal이며, 활동 소모량을 더한 추정 총 소모칼로리는 평균 약 "&amp;TEXT(NR_TDEE_AVG,"#,##0")&amp;"kcal로, 기기 표시값(평균 "&amp;TEXT(NR_KCAL_AVG,"#,##0")&amp;"kcal)과 약 "&amp;TEXT(ABS(NR_KCAL_DIFF),"#,##0")&amp;"kcal 차이가 있습니다. 이 추정치는 참고용이며 기기의 정확한 내부 산식과 다를 수 있습니다."</f>
        <v>칼로리 소모량은 활동시간이 많았던 날 함께 높아지는 경향을 보였습니다(상관계수 r=1.00). 절대값보다 활동량과 같은 방향으로 움직이는지가 이 지표를 읽는 더 유용한 방법입니다. 참고로 체중 58kg·키 162cm·나이 45세 기준 추정 기초대사량(BMR)은 약 1,207kcal이며, 활동 소모량을 더한 추정 총 소모칼로리는 평균 약 1,367kcal로, 기기 표시값(평균 1,631kcal)과 약 264kcal 차이가 있습니다. 이 추정치는 참고용이며 기기의 정확한 내부 산식과 다를 수 있습니다.</v>
      </c>
      <c r="D15" s="34" t="str">
        <f>"특정 목표 칼로리를 설정하기보다 활동량과 함께 증감하는 추세를 관찰하는 것을 권장합니다. 구체적인 목표 설정이 필요하다면 영양사·주치의와의 상담을 권합니다."</f>
        <v>특정 목표 칼로리를 설정하기보다 활동량과 함께 증감하는 추세를 관찰하는 것을 권장합니다. 구체적인 목표 설정이 필요하다면 영양사·주치의와의 상담을 권합니다.</v>
      </c>
    </row>
    <row r="16" spans="1:4" ht="109.5" customHeight="1">
      <c r="A16" s="3" t="s">
        <v>288</v>
      </c>
      <c r="B16" s="2" t="s">
        <v>289</v>
      </c>
      <c r="C16" s="34" t="str">
        <f>"이번 주 활력점수는 평균 "&amp;TEXT(NR_VITAL_AVG,"0")&amp;"점(범위 "&amp;TEXT(NR_VITAL_MIN,"0")&amp;"~"&amp;TEXT(NR_VITAL_MAX,"0")&amp;"점)이며, 하루 스냅샷이 아니라 0에서 시작해 활동량 증감에 따라 100 쪽으로 가까워지거나 멀어지는 누적형 흐름으로 해석합니다. 전날 수면효율과 다음날 활력점수의 상관계수는 "&amp;TEXT(NR_R_LAG_VITAL,"0.00")&amp;"로, "&amp;IF(NR_R_LAG_VITAL&gt;0.3,"전날 수면효율이 좋을수록 다음날 활력점수도 높아지는 경향이 있습니다.",IF(NR_R_LAG_VITAL&lt;-0.3,"전날 수면효율이 좋을수록 다음날 활력점수는 오히려 낮아지는 의외의 경향이 있어 추가 관찰이 필요합니다.","전날 수면효율과 뚜렷한 선후행 관계는 확인되지 않아, 하루 단위 등락보다 여러 날에 걸친 방향성으로 읽는 것이 더 적절합니다."))</f>
        <v>이번 주 활력점수는 평균 65점(범위 50~74점)이며, 하루 스냅샷이 아니라 0에서 시작해 활동량 증감에 따라 100 쪽으로 가까워지거나 멀어지는 누적형 흐름으로 해석합니다. 전날 수면효율과 다음날 활력점수의 상관계수는 -0.13로, 전날 수면효율과 뚜렷한 선후행 관계는 확인되지 않아, 하루 단위 등락보다 여러 날에 걸친 방향성으로 읽는 것이 더 적절합니다.</v>
      </c>
      <c r="D16" s="34" t="str">
        <f>"활력점수를 직접 높이려 하기보다, 근본 원인인 수면의 질을 개선하는 접근이 더 효과적입니다. 04~10페이지의 개선 제안을 먼저 참고하세요."</f>
        <v>활력점수를 직접 높이려 하기보다, 근본 원인인 수면의 질을 개선하는 접근이 더 효과적입니다. 04~10페이지의 개선 제안을 먼저 참고하세요.</v>
      </c>
    </row>
    <row r="17" spans="1:4" ht="109.5" customHeight="1">
      <c r="A17" s="3" t="s">
        <v>290</v>
      </c>
      <c r="B17" s="2" t="s">
        <v>291</v>
      </c>
      <c r="C17" s="34" t="str">
        <f>"수면효율·입면잠복기·각성횟수 세 지표는 "&amp;IF(AND(NR_SE_AVG&lt;NR_SE_REF,NR_SOL_AVG&gt;NR_SOL_REF,NR_AWAKE_AVG&gt;NR_AWAKE_REF),"모두 참고범위에 못 미쳤습니다.",IF(AND(NR_SE_AVG&gt;=NR_SE_REF,NR_SOL_AVG&lt;=NR_SOL_REF,NR_AWAKE_AVG&lt;=NR_AWAKE_REF),"모두 참고범위 안이었습니다.","일부만 참고범위를 벗어났습니다."))&amp;" 세 지표는 7페이지에서 정리했듯 같은 계산식으로 연결되어 있습니다. 심박수·호흡수·SpO2의 주간 평균은 "&amp;IF(AND(NR_HR_AVG&gt;=NR_HR_REF_MIN,NR_HR_AVG&lt;=NR_HR_REF_MAX,NR_RR_AVG&gt;=NR_RR_REF_MIN,NR_RR_AVG&lt;=NR_RR_REF_MAX,NR_SPO2_AVG&gt;=NR_SPO2_REF),"참고범위 안입니다.","일부 참고범위를 벗어났습니다.")&amp;IF(NR_ANOM_COUNT&gt;0," 다만 "&amp;NR_ANOM_COUNT&amp;"일("&amp;NR_ANOM_DAYS&amp;")은 세 지표가 동시에 흔들려 17페이지에서 별도로 짚습니다.","")&amp;" 활동량↔수면효율 상관계수는 r="&amp;TEXT(NR_R_ACT_SE,"0.00")&amp;"이며, 활동 10분↑당 수면효율 약 "&amp;TEXT(NR_SLOPE_SE10,"0.0")&amp;"%p, 총수면시간 약 "&amp;TEXT(NR_SLOPE_TST10,"0.0")&amp;"분 증가하는 관계로 추정됩니다. 활동 3단계 평균 수면효율은 저활동 "&amp;TEXT(NR_LOW_SE,"0")&amp;"%, 중활동 "&amp;TEXT(NR_MID_SE,"0")&amp;"%, 고활동 "&amp;TEXT(NR_HIGH_SE,"0")&amp;"%입니다."</f>
        <v>수면효율·입면잠복기·각성횟수 세 지표는 모두 참고범위에 못 미쳤습니다. 세 지표는 7페이지에서 정리했듯 같은 계산식으로 연결되어 있습니다. 심박수·호흡수·SpO2의 주간 평균은 참고범위 안입니다. 다만 1일(금)은 세 지표가 동시에 흔들려 17페이지에서 별도로 짚습니다. 활동량↔수면효율 상관계수는 r=0.96이며, 활동 10분↑당 수면효율 약 4.5%p, 총수면시간 약 30.4분 증가하는 관계로 추정됩니다. 활동 3단계 평균 수면효율은 저활동 68%, 중활동 79%, 고활동 84%입니다.</v>
      </c>
      <c r="D17" s="34" t="str">
        <f>"수면 구조 지표가 참고범위에 못 미치는 경우, 활동량을 고활동 구간(평균 수면효율 "&amp;TEXT(NR_HIGH_SE,"0")&amp;"%)으로 끌어올리는 것이 가장 효과적인 단일 레버입니다. 세부 실행안은 18페이지 루틴 제안을 참고하세요."</f>
        <v>수면 구조 지표가 참고범위에 못 미치는 경우, 활동량을 고활동 구간(평균 수면효율 84%)으로 끌어올리는 것이 가장 효과적인 단일 레버입니다. 세부 실행안은 18페이지 루틴 제안을 참고하세요.</v>
      </c>
    </row>
    <row r="18" spans="1:4" ht="109.5" customHeight="1">
      <c r="A18" s="3" t="s">
        <v>292</v>
      </c>
      <c r="B18" s="2" t="s">
        <v>293</v>
      </c>
      <c r="C18" s="34" t="str">
        <f>"이번 주 "&amp;NR_ANOM_COUNT&amp;"일("&amp;IF(NR_ANOM_COUNT&gt;0,NR_ANOM_DAYS,"해당 없음")&amp;")은 심박수·호흡수·SpO2가 같은 날 밤 동시에 평소 범위(편차기준: HR +"&amp;TEXT(NR_DEV_HR,"0")&amp;"bpm / RR +"&amp;TEXT(NR_DEV_RR,"0")&amp;"회 / SpO2 -"&amp;TEXT(NR_DEV_SPO2,"0")&amp;"%p)를 벗어났습니다. 우연히 겹쳤을 가능성도 있어 확진이 아닌 관찰 플래그로만 남깁니다. "&amp;IF(NR_ANOM_MULTI="예","같은 날 활동시간·활력점수도 이번 주 중 가장 낮아, 생리 지표뿐 아니라 활동 영역에서도 함께 낮아진 날로 확인됩니다(13·15페이지 참고).","활동·활력 영역까지 함께 낮아진 날은 확인되지 않았습니다.")</f>
        <v>이번 주 1일(금)은 심박수·호흡수·SpO2가 같은 날 밤 동시에 평소 범위(편차기준: HR +8bpm / RR +2회 / SpO2 -2%p)를 벗어났습니다. 우연히 겹쳤을 가능성도 있어 확진이 아닌 관찰 플래그로만 남깁니다. 같은 날 활동시간·활력점수도 이번 주 중 가장 낮아, 생리 지표뿐 아니라 활동 영역에서도 함께 낮아진 날로 확인됩니다(13·15페이지 참고).</v>
      </c>
      <c r="D18" s="34" t="str">
        <f>"하루의 일시적 변화는 스트레스·카페인·알코올·활동량 등 다양한 요인으로도 나타날 수 있어 이 리포트는 진단을 내리지 않으며, 같은 패턴이 반복되는지 지켜볼 것을 제안합니다. 다음 주에도 세 지표가 같은 방향으로 함께 움직인다면 의료진과의 상담을 권합니다."</f>
        <v>하루의 일시적 변화는 스트레스·카페인·알코올·활동량 등 다양한 요인으로도 나타날 수 있어 이 리포트는 진단을 내리지 않으며, 같은 패턴이 반복되는지 지켜볼 것을 제안합니다. 다음 주에도 세 지표가 같은 방향으로 함께 움직인다면 의료진과의 상담을 권합니다.</v>
      </c>
    </row>
    <row r="19" spans="1:4" ht="109.5" customHeight="1">
      <c r="A19" s="3" t="s">
        <v>294</v>
      </c>
      <c r="B19" s="2" t="s">
        <v>295</v>
      </c>
      <c r="C19" s="34" t="str">
        <f>"네 가지 루틴 제안의 근거를 이번 주 데이터로 다시 확인하면: ① 취침시각 편차 ±"&amp;TEXT(NR_BEDSD,"0")&amp;"분(참고범위 20분 이내) → 목표 취침시각 "&amp;TEXT(NR_TARGET_BED_DISP,"HH:MM")&amp;"으로 역산, ② 활동↔수면효율 상관계수 r="&amp;TEXT(NR_R_ACT_SE,"0.00")&amp;", 고활동 구간(평균 수면효율 "&amp;TEXT(NR_HIGH_SE,"0")&amp;"%) 진입을 위한 목표 활동시간 "&amp;TEXT(NR_ACT_DAILY_TARGET,"0")&amp;"분 이상, ③ 입면잠복기·각성횟수 관련 저녁 루틴, ④ 이상신호 "&amp;NR_ANOM_COUNT&amp;"일("&amp;NR_ANOM_DAYS&amp;") 발생 — 반복 여부를 계속 기록합니다."</f>
        <v>네 가지 루틴 제안의 근거를 이번 주 데이터로 다시 확인하면: ① 취침시각 편차 ±35분(참고범위 20분 이내) → 목표 취침시각 22:23으로 역산, ② 활동↔수면효율 상관계수 r=0.96, 고활동 구간(평균 수면효율 84%) 진입을 위한 목표 활동시간 50분 이상, ③ 입면잠복기·각성횟수 관련 저녁 루틴, ④ 이상신호 1일(금) 발생 — 반복 여부를 계속 기록합니다.</v>
      </c>
      <c r="D19" s="34" t="str">
        <f>"① 취침시각 편차가 참고범위(20분 이내)를 넘으면 카드1(취침시각 먼저 고정하기)을, ② 활동시간이 목표("&amp;TEXT(NR_ACT_DAILY_TARGET,"0")&amp;"분/일) 미만인 날이 많으면 카드2(낮 활동량 늘리기)를, ③ 복합형·잠들기어려움형 밤이 있으면 카드3(저녁 루틴)을, ④ 이상신호가 1건 이상이면 카드4(흔들린 밤 기록)를 우선순위로 제안합니다."</f>
        <v>① 취침시각 편차가 참고범위(20분 이내)를 넘으면 카드1(취침시각 먼저 고정하기)을, ② 활동시간이 목표(50분/일) 미만인 날이 많으면 카드2(낮 활동량 늘리기)를, ③ 복합형·잠들기어려움형 밤이 있으면 카드3(저녁 루틴)을, ④ 이상신호가 1건 이상이면 카드4(흔들린 밤 기록)를 우선순위로 제안합니다.</v>
      </c>
    </row>
    <row r="21" spans="1:4" ht="19.5" customHeight="1">
      <c r="A21" s="43" t="s">
        <v>296</v>
      </c>
      <c r="B21" s="43"/>
      <c r="C21" s="43"/>
      <c r="D21" s="43"/>
    </row>
    <row r="22" spans="1:4" ht="129.75" customHeight="1">
      <c r="A22" s="3" t="s">
        <v>297</v>
      </c>
      <c r="B22" s="2" t="s">
        <v>298</v>
      </c>
      <c r="C22" s="34" t="str">
        <f>"이번 주 평균 각성시간은 하루 "&amp;TEXT(NR_WASO_DEVICE_AVG,"0")&amp;"분이었고, 각성횟수로 나누면 한 번 깼을 때 평균 "&amp;TEXT(NR_AVGDUR_AVG,"0.0")&amp;"분간 깨어 있었던 셈입니다. 지속시간이 가장 길었던 "&amp;NR_AVGDUR_MAXDAY&amp;"요일은 "&amp;TEXT(NR_AVGDUR_MAX,"0.0")&amp;"분(각성 "&amp;TEXT(IFERROR(INDEX(D_AWAKE,MATCH(NR_AVGDUR_MAXDAY,D_LABEL,0)),0),"0")&amp;"회)까지 이어졌고, 가장 짧았던 "&amp;NR_AVGDUR_MINDAY&amp;"요일은 "&amp;TEXT(NR_AVGDUR_MIN,"0.0")&amp;"분(각성 "&amp;TEXT(IFERROR(INDEX(D_AWAKE,MATCH(NR_AVGDUR_MINDAY,D_LABEL,0)),0),"0")&amp;"회)에 그쳤습니다. 각성횟수와 지속시간은 상관계수 r="&amp;TEXT(NR_R_AWAKE_DUR,"0.00")&amp;"로 "&amp;IF(NR_R_AWAKE_DUR&lt;0,"반대","같은")&amp;" 방향으로 움직였으며, 지속시간이 길었던 날일수록 오히려 총수면시간(r="&amp;TEXT(NR_R_DUR_TST,"0.00")&amp;")·수면효율(r="&amp;TEXT(NR_R_DUR_SE,"0.00")&amp;")은 더 "&amp;IF(NR_R_DUR_TST&gt;0,"높은","낮은")&amp;" 경향을 보여, 몇 번 깼는지와 한 번 깼을 때 얼마나 오래 깨어 있었는지는 서로 다른 정보를 담고 있는 것으로 보입니다."</f>
        <v>이번 주 평균 각성시간은 하루 57분이었고, 각성횟수로 나누면 한 번 깼을 때 평균 21.6분간 깨어 있었던 셈입니다. 지속시간이 가장 길었던 토요일은 29.0분(각성 2회)까지 이어졌고, 가장 짧았던 금요일은 15.8분(각성 4회)에 그쳤습니다. 각성횟수와 지속시간은 상관계수 r=-0.66로 반대 방향으로 움직였으며, 지속시간이 길었던 날일수록 오히려 총수면시간(r=0.80)·수면효율(r=0.41)은 더 높은 경향을 보여, 몇 번 깼는지와 한 번 깼을 때 얼마나 오래 깨어 있었는지는 서로 다른 정보를 담고 있는 것으로 보입니다.</v>
      </c>
      <c r="D22" s="34" t="str">
        <f>"※ 이번 표본은 7일 데이터 기준이며, 실제 누적 데이터에서는 관계의 강도나 방향이 달라질 수 있습니다."</f>
        <v>※ 이번 표본은 7일 데이터 기준이며, 실제 누적 데이터에서는 관계의 강도나 방향이 달라질 수 있습니다.</v>
      </c>
    </row>
  </sheetData>
  <mergeCells count="3">
    <mergeCell ref="A1:D1"/>
    <mergeCell ref="A2:D2"/>
    <mergeCell ref="A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A5236"/>
  </sheetPr>
  <dimension ref="A1:E20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7" customWidth="1"/>
    <col min="2" max="2" width="22" customWidth="1"/>
    <col min="3" max="3" width="46" customWidth="1"/>
    <col min="4" max="4" width="60" customWidth="1"/>
    <col min="5" max="5" width="50" customWidth="1"/>
  </cols>
  <sheetData>
    <row r="1" spans="1:5" ht="25.5" customHeight="1">
      <c r="A1" s="40" t="s">
        <v>299</v>
      </c>
      <c r="B1" s="40"/>
      <c r="C1" s="40"/>
      <c r="D1" s="40"/>
      <c r="E1" s="40"/>
    </row>
    <row r="2" spans="1:5" ht="15.75" customHeight="1">
      <c r="A2" s="39" t="s">
        <v>300</v>
      </c>
      <c r="B2" s="39"/>
      <c r="C2" s="39"/>
      <c r="D2" s="39"/>
      <c r="E2" s="39"/>
    </row>
    <row r="4" spans="1:5" ht="30" customHeight="1">
      <c r="A4" s="1" t="s">
        <v>264</v>
      </c>
      <c r="B4" s="1" t="s">
        <v>265</v>
      </c>
      <c r="C4" s="1" t="s">
        <v>301</v>
      </c>
      <c r="D4" s="1" t="s">
        <v>266</v>
      </c>
      <c r="E4" s="1" t="s">
        <v>267</v>
      </c>
    </row>
    <row r="5" spans="1:5" ht="94.5" customHeight="1">
      <c r="A5" s="3" t="s">
        <v>268</v>
      </c>
      <c r="B5" s="2" t="s">
        <v>269</v>
      </c>
      <c r="C5" s="35" t="str">
        <f>"평균 "&amp;TEXT(NR_TST_AVG,"0")&amp;"분 · 범위 "&amp;TEXT(NR_TST_MIN,"0")&amp;"~"&amp;TEXT(NR_TST_MAX,"0")&amp;"분 · 변동폭 "&amp;TEXT(NR_TST_RANGE,"0")&amp;"분"</f>
        <v>평균 301분 · 범위 214~400분 · 변동폭 186분</v>
      </c>
      <c r="D5" s="34" t="str">
        <f>S6_Text_Gen!C5</f>
        <v>이번 주 평균 총수면시간은 301분(5시간 1분)으로, 목표(하루 7시간) 대비 부족했습니다. 총수면시간이 가장 길었던 토요일은 깊은수면 22.0%·렘수면 30.0%로 이번 주 중 비중이 가장 높았고, 가장 짧았던 금요일은 얕은수면 비중이 65.9%로 가장 높았습니다 — 오래 잘수록 깊은수면·렘수면 비중이 늘고 얕은수면 비중은 줄어드는 흐름이 있었습니다.</v>
      </c>
      <c r="E5" s="34" t="str">
        <f>S6_Text_Gen!D5</f>
        <v>목표 수면시간(하루 7시간, 주 49시간) 대비 이번 주 실제 총수면시간은 약 35시간으로, 약 13.9시간의 수면부채가 누적되었습니다. 한 번에 몰아 자기보다 하루 20~30분씩 취침시각을 점진적으로 앞당겨 부족분을 줄여가는 것을 목표로 삼을 수 있습니다.</v>
      </c>
    </row>
    <row r="6" spans="1:5" ht="94.5" customHeight="1">
      <c r="A6" s="3" t="s">
        <v>270</v>
      </c>
      <c r="B6" s="2" t="s">
        <v>271</v>
      </c>
      <c r="C6" s="35" t="str">
        <f>"평균 "&amp;TEXT(NR_SE_AVG,"0")&amp;"% · 범위 "&amp;TEXT(NR_SE_MIN,"0")&amp;"~"&amp;TEXT(NR_SE_MAX,"0")&amp;"% · 변동폭 "&amp;TEXT(NR_SE_RANGE,"0")&amp;"%p"</f>
        <v>평균 76% · 범위 65~84% · 변동폭 19%p</v>
      </c>
      <c r="D6" s="34" t="str">
        <f>S6_Text_Gen!C6</f>
        <v>이번 주 평균 수면효율은 76%로 참고범위(85% 이상) 에 못 미쳤습니다. 요일별 최저치는 65%(목요일)까지 내려간 날이 있었습니다. 입면잠복기·각성횟수와 같은 계산식 안에서 함께 움직이는 이유는 7페이지를 확인하세요. 이 수치는 웨어러블이 날짜별로 제공한 수면효율이 있으면 그 값을 그대로 반영하고, 제공되지 않은 날만 취침·기상시각 기준 계산값(총수면시간÷침상시간×100)으로 대신합니다.</v>
      </c>
      <c r="E6" s="34" t="str">
        <f>S6_Text_Gen!D6</f>
        <v>수면효율이 낮은 날이 이어질 때 일반적으로 권장되는 자극조절법입니다 — 잠자리에 누운 지 20분이 지나도 잠들지 않으면 잠시 일어나 있다가 졸릴 때 다시 눕고, 침대는 수면 외 용도로 사용하지 않습니다. 목표: 85% 이상.</v>
      </c>
    </row>
    <row r="7" spans="1:5" ht="94.5" customHeight="1">
      <c r="A7" s="3" t="s">
        <v>272</v>
      </c>
      <c r="B7" s="2" t="s">
        <v>273</v>
      </c>
      <c r="C7" s="35" t="str">
        <f>"평균 "&amp;TEXT(NR_SOL_AVG,"0")&amp;"분 · 범위 "&amp;TEXT(NR_SOL_MIN,"0")&amp;"~"&amp;TEXT(NR_SOL_MAX,"0")&amp;"분 · 변동폭 "&amp;TEXT(NR_SOL_RANGE,"0")&amp;"분"</f>
        <v>평균 24분 · 범위 15~34분 · 변동폭 19분</v>
      </c>
      <c r="D7" s="34" t="str">
        <f>S6_Text_Gen!C7</f>
        <v>이번 주 평균 입면잠복기는 24분으로 참고범위(20분 이내) 보다 길었습니다. 요일별 최댓값은 34분(금요일)까지 늘어난 날이 있었습니다. 활동시간과 입면잠복기의 상관계수는 -0.97로, 활동이 적을수록 입면잠복기가 길어지는 경향이 있었습니다.</v>
      </c>
      <c r="E7" s="34" t="str">
        <f>S6_Text_Gen!D7</f>
        <v>잠드는 데 걸리는 시간이 길게 느껴지는 날이 이어질 때 취침 30~60분 전부터 조명을 낮추고 화면 사용을 줄이는 것이 일반적으로 도움이 됩니다. 목표: 20분 이내.</v>
      </c>
    </row>
    <row r="8" spans="1:5" ht="94.5" customHeight="1">
      <c r="A8" s="3" t="s">
        <v>274</v>
      </c>
      <c r="B8" s="2" t="s">
        <v>91</v>
      </c>
      <c r="C8" s="35" t="str">
        <f>"평균 "&amp;TEXT(NR_AWAKE_AVG,"0.0")&amp;"회 · 범위 "&amp;TEXT(NR_AWAKE_MIN,"0")&amp;"~"&amp;TEXT(NR_AWAKE_MAX,"0")&amp;"회"</f>
        <v>평균 2.7회 · 범위 2~4회</v>
      </c>
      <c r="D8" s="34" t="str">
        <f>S6_Text_Gen!C8</f>
        <v>이번 주 평균 각성횟수는 2.7회로 참고범위(2회 이하) 를 넘었습니다. 각성횟수가 가장 많았던 금요일은 입면잠복기도 평균보다 길어 함께 나빠지는 경향이 있었습니다.</v>
      </c>
      <c r="E8" s="34" t="str">
        <f>S6_Text_Gen!D8</f>
        <v>밤사이 깨는 횟수가 많은 날이 이어질 때 카페인·알코올 섭취 시각을 취침 6시간 이전으로 당기고, 깼을 때 시계를 보지 않는 것이 재입면에 도움이 됩니다. 목표: 2회 이하.</v>
      </c>
    </row>
    <row r="9" spans="1:5" ht="94.5" customHeight="1">
      <c r="A9" s="3" t="s">
        <v>275</v>
      </c>
      <c r="B9" s="2" t="s">
        <v>276</v>
      </c>
      <c r="C9" s="35" t="str">
        <f>"TIB평균 "&amp;TEXT(NR_TST_AVG+ NR_SOL_AVG,"0")&amp;"분대 · r(SOL↔SE)="&amp;TEXT(NR_R_SOL_SE,"0.00")&amp;" · r(활동↔SOL)="&amp;TEXT(NR_R_ACT_SOL,"0.00")&amp;" · r(활동↔SE)="&amp;TEXT(NR_R_ACT_SE,"0.00")</f>
        <v>TIB평균 324분대 · r(SOL↔SE)=-0.97 · r(활동↔SOL)=-0.97 · r(활동↔SE)=0.96</v>
      </c>
      <c r="D9" s="34" t="str">
        <f>S6_Text_Gen!C9</f>
        <v>이번 주 3일은 입면잠복기·각성횟수·수면효율이 모두 함께 나빠진 복합형 밤이었고, 1일은 입면잠복기는 정상이지만 각성횟수만 높은 자주깨어남형, 0일은 각성횟수는 정상이지만 입면잠복기만 긴 잠들기어려움형이었습니다. 활동시간과 입면잠복기(r=-0.97), 활동시간과 수면효율(r=0.96) 모두 강한 상관을 보였습니다.</v>
      </c>
      <c r="E9" s="34" t="str">
        <f>S6_Text_Gen!D9</f>
        <v>입면잠복기·각성횟수가 함께 높은 날은 05페이지의 이완 루틴으로 「잠들기 어려움」에 먼저 대응하고, 입면잠복기는 정상인데 각성횟수만 높은 날은 06페이지의 각성 유발 요인 조정을 먼저 살펴보는 것이 더 효율적입니다.</v>
      </c>
    </row>
    <row r="10" spans="1:5" ht="94.5" customHeight="1">
      <c r="A10" s="3" t="s">
        <v>277</v>
      </c>
      <c r="B10" s="2" t="s">
        <v>278</v>
      </c>
      <c r="C10" s="35" t="str">
        <f>"평균 "&amp;TEXT(NR_HR_AVG,"0")&amp;"bpm · 범위 "&amp;TEXT(NR_HR_MIN,"0")&amp;"~"&amp;TEXT(NR_HR_MAX,"0")&amp;"bpm · r(HR↔RR)="&amp;TEXT(NR_R_HR_RR,"0.00")&amp;" · r(HR↔SpO2)="&amp;TEXT(NR_R_HR_SPO2,"0.00")</f>
        <v>평균 60bpm · 범위 55~71bpm · r(HR↔RR)=0.99 · r(HR↔SpO2)=-0.99</v>
      </c>
      <c r="D10" s="34" t="str">
        <f>S6_Text_Gen!C10</f>
        <v>주간 평균 심박수는 60bpm으로 참고범위(45~70bpm) 안에 있습니다. 요일별 최댓값(71bpm, 금요일)은 참고범위 상단을 넘겼습니다. 호흡수·SpO2와 함께 흔들리는 날이 반복되는지는 17페이지에서 별도로 확인합니다.</v>
      </c>
      <c r="E10" s="34" t="str">
        <f>S6_Text_Gen!D10</f>
        <v>수면 중 심박수는 대체로 참고범위 안에서 움직였습니다. 특별한 조정보다 현재 패턴을 유지하며 관찰을 지속하는 것을 권장합니다.</v>
      </c>
    </row>
    <row r="11" spans="1:5" ht="94.5" customHeight="1">
      <c r="A11" s="3" t="s">
        <v>279</v>
      </c>
      <c r="B11" s="2" t="s">
        <v>280</v>
      </c>
      <c r="C11" s="35" t="str">
        <f>"평균 "&amp;TEXT(NR_RR_AVG,"0")&amp;"회/분 · 범위 "&amp;TEXT(NR_RR_MIN,"0")&amp;"~"&amp;TEXT(NR_RR_MAX,"0")&amp;"회/분 · r(RR↔SpO2)="&amp;TEXT(NR_R_RR_SPO2,"0.00")</f>
        <v>평균 16회/분 · 범위 14~19회/분 · r(RR↔SpO2)=-1.00</v>
      </c>
      <c r="D11" s="34" t="str">
        <f>S6_Text_Gen!C11</f>
        <v>주간 평균 호흡수는 16회/분으로 참고범위(12~20회/분) 안에 있습니다. 요일별 최댓값(19회/분, 금요일)은 이번 주 중 가장 높았던 날입니다. 심박수(r=0.99)·SpO2(r=-1.00)와 함께 흔들리는 경향이 반복되는지는 17페이지에서 다룹니다.</v>
      </c>
      <c r="E11" s="34" t="str">
        <f>S6_Text_Gen!D11</f>
        <v>호흡수는 대체로 참고범위 안에서 움직였습니다. 특별한 조정보다 현재 패턴을 유지하며 관찰을 지속하는 것을 권장합니다.</v>
      </c>
    </row>
    <row r="12" spans="1:5" ht="94.5" customHeight="1">
      <c r="A12" s="3" t="s">
        <v>281</v>
      </c>
      <c r="B12" s="3" t="s">
        <v>100</v>
      </c>
      <c r="C12" s="35" t="str">
        <f>"평균 "&amp;TEXT(NR_SPO2_AVG,"0")&amp;"% · 범위 "&amp;TEXT(NR_SPO2_MIN,"0")&amp;"~"&amp;TEXT(NR_SPO2_MAX,"0")&amp;"%"</f>
        <v>평균 96% · 범위 93~98%</v>
      </c>
      <c r="D12" s="34" t="str">
        <f>S6_Text_Gen!C12</f>
        <v>주간 평균 SpO2는 96%로 참고범위(95% 이상) 안에 있습니다. 요일별 최솟값(93%, 금요일)은 참고범위 아래로 내려간 날이었습니다. 호흡수와의 상관계수는 -1.00로 매우 강한 음의 상관을 보였습니다.</v>
      </c>
      <c r="E12" s="34" t="str">
        <f>S6_Text_Gen!D12</f>
        <v>SpO2 평균은 참고범위 안에 있으나 주간 편차가 존재합니다. 참고범위 내에서도 편차가 반복되는지 지속 관찰을 권장합니다.</v>
      </c>
    </row>
    <row r="13" spans="1:5" ht="94.5" customHeight="1">
      <c r="A13" s="3" t="s">
        <v>282</v>
      </c>
      <c r="B13" s="2" t="s">
        <v>283</v>
      </c>
      <c r="C13" s="35" t="str">
        <f>"평균 취침 "&amp;TEXT(NR_BED_AVG_DISP,"HH:MM")&amp;"(±"&amp;TEXT(NR_BEDSD,"0")&amp;"분) · 평균 기상 "&amp;TEXT(NR_WAKE_AVG_DISP,"HH:MM")&amp;"(±"&amp;TEXT(NR_WAKESD,"0")&amp;"분) · 목표 취침 "&amp;TEXT(NR_TARGET_BED_DISP,"HH:MM")</f>
        <v>평균 취침 00:17(±35분) · 평균 기상 06:37(±18분) · 목표 취침 22:23</v>
      </c>
      <c r="D13" s="34" t="str">
        <f>S6_Text_Gen!C13</f>
        <v>취침시각은 평균 00:17, 요일 간 편차 ±35분으로 참고범위(20분 이내) 참고범위 초과 (불규칙)이며, 기상시각은 평균 06:37, 편차 ±18분으로 참고범위 안입니다. 이는 「몇 시에 일어나는지」보다 「몇 시에 잠자리에 드는지」가 먼저 흔들리고 있다는 뜻으로 읽을 수 있습니다.</v>
      </c>
      <c r="E13" s="34" t="str">
        <f>S6_Text_Gen!D13</f>
        <v>평균 기상시각(06:37)을 고정점으로 목표 수면시간 7시간, 목표 수면효율 85%를 반영해 역산하면 권장 취침시각은 약 22:23입니다. 현재 평균 취침시각(00:17)과 차이가 있다면, 하루 15~20분씩 점진적으로 앞당기는 방식을 권장합니다.</v>
      </c>
    </row>
    <row r="14" spans="1:5" ht="94.5" customHeight="1">
      <c r="A14" s="3" t="s">
        <v>284</v>
      </c>
      <c r="B14" s="2" t="s">
        <v>285</v>
      </c>
      <c r="C14" s="35" t="str">
        <f>"평균 "&amp;TEXT(NR_ACT_AVG,"0")&amp;"분/일 · 주간합계 "&amp;TEXT(NR_ACT_AVG*7,"0")&amp;"분 · 범위 "&amp;TEXT(NR_ACT_MIN,"0")&amp;"~"&amp;TEXT(NR_ACT_MAX,"0")&amp;"분"</f>
        <v>평균 40분/일 · 주간합계 277분 · 범위 18~62분</v>
      </c>
      <c r="D14" s="34" t="str">
        <f>S6_Text_Gen!C14</f>
        <v>이번 주 합계 활동시간은 약 277분으로 주간 권장기준(150분) 을 넘겼습니다. 요일별 최저 18분~최고 62분으로 편차(범위 44분)가 큰 편이며, 활동이 특정 요일(토)에 몰려 있는 경향이 있습니다.</v>
      </c>
      <c r="E14" s="34" t="str">
        <f>S6_Text_Gen!D14</f>
        <v>주간 총 활동량이 충분한 수준이라면 양을 더 늘리기보다, 매일 비슷한 시간대에 짧게라도 걷는 방식으로 요일별 편차를 줄이는 것을 목표로 삼아볼 수 있습니다. 활동과 수면효율의 관계는 7페이지에서 함께 살펴봅니다.</v>
      </c>
    </row>
    <row r="15" spans="1:5" ht="94.5" customHeight="1">
      <c r="A15" s="3" t="s">
        <v>286</v>
      </c>
      <c r="B15" s="2" t="s">
        <v>287</v>
      </c>
      <c r="C15" s="35" t="str">
        <f>"평균 "&amp;TEXT(NR_KCAL_AVG,"#,##0")&amp;"kcal(기기값) · 추정 TDEE "&amp;TEXT(NR_TDEE_AVG,"#,##0")&amp;"kcal · BMI "&amp;TEXT(NR_BMI,"0.0")</f>
        <v>평균 1,631kcal(기기값) · 추정 TDEE 1,367kcal · BMI 22.1</v>
      </c>
      <c r="D15" s="34" t="str">
        <f>S6_Text_Gen!C15</f>
        <v>칼로리 소모량은 활동시간이 많았던 날 함께 높아지는 경향을 보였습니다(상관계수 r=1.00). 절대값보다 활동량과 같은 방향으로 움직이는지가 이 지표를 읽는 더 유용한 방법입니다. 참고로 체중 58kg·키 162cm·나이 45세 기준 추정 기초대사량(BMR)은 약 1,207kcal이며, 활동 소모량을 더한 추정 총 소모칼로리는 평균 약 1,367kcal로, 기기 표시값(평균 1,631kcal)과 약 264kcal 차이가 있습니다. 이 추정치는 참고용이며 기기의 정확한 내부 산식과 다를 수 있습니다.</v>
      </c>
      <c r="E15" s="34" t="str">
        <f>S6_Text_Gen!D15</f>
        <v>특정 목표 칼로리를 설정하기보다 활동량과 함께 증감하는 추세를 관찰하는 것을 권장합니다. 구체적인 목표 설정이 필요하다면 영양사·주치의와의 상담을 권합니다.</v>
      </c>
    </row>
    <row r="16" spans="1:5" ht="94.5" customHeight="1">
      <c r="A16" s="3" t="s">
        <v>288</v>
      </c>
      <c r="B16" s="2" t="s">
        <v>289</v>
      </c>
      <c r="C16" s="35" t="str">
        <f>"평균 "&amp;TEXT(NR_VITAL_AVG,"0")&amp;"점 · 범위 "&amp;TEXT(NR_VITAL_MIN,"0")&amp;"~"&amp;TEXT(NR_VITAL_MAX,"0")&amp;"점"</f>
        <v>평균 65점 · 범위 50~74점</v>
      </c>
      <c r="D16" s="34" t="str">
        <f>S6_Text_Gen!C16</f>
        <v>이번 주 활력점수는 평균 65점(범위 50~74점)이며, 하루 스냅샷이 아니라 0에서 시작해 활동량 증감에 따라 100 쪽으로 가까워지거나 멀어지는 누적형 흐름으로 해석합니다. 전날 수면효율과 다음날 활력점수의 상관계수는 -0.13로, 전날 수면효율과 뚜렷한 선후행 관계는 확인되지 않아, 하루 단위 등락보다 여러 날에 걸친 방향성으로 읽는 것이 더 적절합니다.</v>
      </c>
      <c r="E16" s="34" t="str">
        <f>S6_Text_Gen!D16</f>
        <v>활력점수를 직접 높이려 하기보다, 근본 원인인 수면의 질을 개선하는 접근이 더 효과적입니다. 04~10페이지의 개선 제안을 먼저 참고하세요.</v>
      </c>
    </row>
    <row r="17" spans="1:5" ht="94.5" customHeight="1">
      <c r="A17" s="3" t="s">
        <v>290</v>
      </c>
      <c r="B17" s="2" t="s">
        <v>291</v>
      </c>
      <c r="C17" s="35" t="str">
        <f>"SE "&amp;TEXT(NR_SE_AVG,"0")&amp;"% · SOL "&amp;TEXT(NR_SOL_AVG,"0")&amp;"분 · 각성 "&amp;TEXT(NR_AWAKE_AVG,"0.0")&amp;"회 · r(활동↔SE)="&amp;TEXT(NR_R_ACT_SE,"0.00")&amp;" · 저/중/고활동 SE "&amp;TEXT(NR_LOW_SE,"0")&amp;"/"&amp;TEXT(NR_MID_SE,"0")&amp;"/"&amp;TEXT(NR_HIGH_SE,"0")&amp;"%"</f>
        <v>SE 76% · SOL 24분 · 각성 2.7회 · r(활동↔SE)=0.96 · 저/중/고활동 SE 68/79/84%</v>
      </c>
      <c r="D17" s="34" t="str">
        <f>S6_Text_Gen!C17</f>
        <v>수면효율·입면잠복기·각성횟수 세 지표는 모두 참고범위에 못 미쳤습니다. 세 지표는 7페이지에서 정리했듯 같은 계산식으로 연결되어 있습니다. 심박수·호흡수·SpO2의 주간 평균은 참고범위 안입니다. 다만 1일(금)은 세 지표가 동시에 흔들려 17페이지에서 별도로 짚습니다. 활동량↔수면효율 상관계수는 r=0.96이며, 활동 10분↑당 수면효율 약 4.5%p, 총수면시간 약 30.4분 증가하는 관계로 추정됩니다. 활동 3단계 평균 수면효율은 저활동 68%, 중활동 79%, 고활동 84%입니다.</v>
      </c>
      <c r="E17" s="34" t="str">
        <f>S6_Text_Gen!D17</f>
        <v>수면 구조 지표가 참고범위에 못 미치는 경우, 활동량을 고활동 구간(평균 수면효율 84%)으로 끌어올리는 것이 가장 효과적인 단일 레버입니다. 세부 실행안은 18페이지 루틴 제안을 참고하세요.</v>
      </c>
    </row>
    <row r="18" spans="1:5" ht="94.5" customHeight="1">
      <c r="A18" s="3" t="s">
        <v>292</v>
      </c>
      <c r="B18" s="2" t="s">
        <v>293</v>
      </c>
      <c r="C18" s="35" t="str">
        <f>"이상신호 "&amp;NR_ANOM_COUNT&amp;"일 · 해당 요일: "&amp;IF(NR_ANOM_COUNT&gt;0,NR_ANOM_DAYS,"없음")&amp;" · 다중영역 동반 "&amp;NR_ANOM_MULTI</f>
        <v>이상신호 1일 · 해당 요일: 금 · 다중영역 동반 예</v>
      </c>
      <c r="D18" s="34" t="str">
        <f>S6_Text_Gen!C18</f>
        <v>이번 주 1일(금)은 심박수·호흡수·SpO2가 같은 날 밤 동시에 평소 범위(편차기준: HR +8bpm / RR +2회 / SpO2 -2%p)를 벗어났습니다. 우연히 겹쳤을 가능성도 있어 확진이 아닌 관찰 플래그로만 남깁니다. 같은 날 활동시간·활력점수도 이번 주 중 가장 낮아, 생리 지표뿐 아니라 활동 영역에서도 함께 낮아진 날로 확인됩니다(13·15페이지 참고).</v>
      </c>
      <c r="E18" s="34" t="str">
        <f>S6_Text_Gen!D18</f>
        <v>하루의 일시적 변화는 스트레스·카페인·알코올·활동량 등 다양한 요인으로도 나타날 수 있어 이 리포트는 진단을 내리지 않으며, 같은 패턴이 반복되는지 지켜볼 것을 제안합니다. 다음 주에도 세 지표가 같은 방향으로 함께 움직인다면 의료진과의 상담을 권합니다.</v>
      </c>
    </row>
    <row r="19" spans="1:5" ht="94.5" customHeight="1">
      <c r="A19" s="3" t="s">
        <v>294</v>
      </c>
      <c r="B19" s="2" t="s">
        <v>295</v>
      </c>
      <c r="C19" s="35" t="str">
        <f>"목표 취침 "&amp;TEXT(NR_TARGET_BED_DISP,"HH:MM")&amp;" · 목표 활동 "&amp;TEXT(NR_ACT_DAILY_TARGET,"0")&amp;"분/일 · r(활동↔SE)="&amp;TEXT(NR_R_ACT_SE,"0.00")</f>
        <v>목표 취침 22:23 · 목표 활동 50분/일 · r(활동↔SE)=0.96</v>
      </c>
      <c r="D19" s="34" t="str">
        <f>S6_Text_Gen!C19</f>
        <v>네 가지 루틴 제안의 근거를 이번 주 데이터로 다시 확인하면: ① 취침시각 편차 ±35분(참고범위 20분 이내) → 목표 취침시각 22:23으로 역산, ② 활동↔수면효율 상관계수 r=0.96, 고활동 구간(평균 수면효율 84%) 진입을 위한 목표 활동시간 50분 이상, ③ 입면잠복기·각성횟수 관련 저녁 루틴, ④ 이상신호 1일(금) 발생 — 반복 여부를 계속 기록합니다.</v>
      </c>
      <c r="E19" s="34" t="str">
        <f>S6_Text_Gen!D19</f>
        <v>① 취침시각 편차가 참고범위(20분 이내)를 넘으면 카드1(취침시각 먼저 고정하기)을, ② 활동시간이 목표(50분/일) 미만인 날이 많으면 카드2(낮 활동량 늘리기)를, ③ 복합형·잠들기어려움형 밤이 있으면 카드3(저녁 루틴)을, ④ 이상신호가 1건 이상이면 카드4(흔들린 밤 기록)를 우선순위로 제안합니다.</v>
      </c>
    </row>
    <row r="20" spans="1:5" ht="94.5" customHeight="1">
      <c r="A20" s="3" t="s">
        <v>297</v>
      </c>
      <c r="B20" s="2" t="s">
        <v>298</v>
      </c>
      <c r="C20" s="35" t="str">
        <f>"1회당 "&amp;TEXT(NR_AVGDUR_AVG,"0.0")&amp;"분 · r(횟수↔지속시간)="&amp;TEXT(NR_R_AWAKE_DUR,"0.00")</f>
        <v>1회당 21.6분 · r(횟수↔지속시간)=-0.66</v>
      </c>
      <c r="D20" s="34" t="str">
        <f>NR_WAKE_DUR_CARD_BODY</f>
        <v>이번 주 평균 각성시간은 하루 57분이었고, 각성횟수로 나누면 한 번 깼을 때 평균 21.6분간 깨어 있었던 셈입니다. 지속시간이 가장 길었던 토요일은 29.0분(각성 2회)까지 이어졌고, 가장 짧았던 금요일은 15.8분(각성 4회)에 그쳤습니다. 각성횟수와 지속시간은 상관계수 r=-0.66로 반대 방향으로 움직였으며, 지속시간이 길었던 날일수록 오히려 총수면시간(r=0.80)·수면효율(r=0.41)은 더 높은 경향을 보여, 몇 번 깼는지와 한 번 깼을 때 얼마나 오래 깨어 있었는지는 서로 다른 정보를 담고 있는 것으로 보입니다.</v>
      </c>
      <c r="E20" s="34" t="str">
        <f>NR_WAKE_DUR_CARD_NOTE</f>
        <v>※ 이번 표본은 7일 데이터 기준이며, 실제 누적 데이터에서는 관계의 강도나 방향이 달라질 수 있습니다.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불면 중심 수면 리듬 진단 리포트 - 자동 계산 로직</dc:title>
  <dc:subject/>
  <dc:creator>Claude</dc:creator>
  <cp:keywords/>
  <dc:description/>
  <cp:lastModifiedBy>Guest User</cp:lastModifiedBy>
  <cp:revision>0</cp:revision>
  <dcterms:created xsi:type="dcterms:W3CDTF">2026-09-19T16:01:46Z</dcterms:created>
  <dcterms:modified xsi:type="dcterms:W3CDTF">2026-09-23T04:09:13Z</dcterms:modified>
  <cp:category/>
  <cp:contentStatus/>
</cp:coreProperties>
</file>